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Units" sheetId="2" state="visible" r:id="rId4"/>
    <sheet name="Buildings" sheetId="3" state="visible" r:id="rId5"/>
  </sheets>
  <definedNames>
    <definedName function="false" hidden="true" localSheetId="1" name="_xlnm._FilterDatabase" vbProcedure="false">Units!$A$1:$AD$22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Assumption: how many gold one powder is worth. Change it and every Value column recalculates.</t>
        </r>
      </text>
    </comment>
  </commentList>
</comments>
</file>

<file path=xl/sharedStrings.xml><?xml version="1.0" encoding="utf-8"?>
<sst xmlns="http://schemas.openxmlformats.org/spreadsheetml/2006/main" count="281" uniqueCount="169">
  <si>
    <t xml:space="preserve">Balance sheet settings</t>
  </si>
  <si>
    <t xml:space="preserve">Second resource worth, in first-resource units (edit these)</t>
  </si>
  <si>
    <t xml:space="preserve">Faction</t>
  </si>
  <si>
    <t xml:space="preserve">Second resource</t>
  </si>
  <si>
    <t xml:space="preserve">Worth (x first resource)</t>
  </si>
  <si>
    <t xml:space="preserve">crown</t>
  </si>
  <si>
    <t xml:space="preserve">Powder (vs Gold)</t>
  </si>
  <si>
    <t xml:space="preserve">brood</t>
  </si>
  <si>
    <t xml:space="preserve">Essence (vs Biomass)</t>
  </si>
  <si>
    <t xml:space="preserve">clockwork</t>
  </si>
  <si>
    <t xml:space="preserve">Energy (vs Ore)</t>
  </si>
  <si>
    <t xml:space="preserve">Reference target armor (for "DPS vs armor" column)</t>
  </si>
  <si>
    <t xml:space="preserve">Reference attacker damage (for "Effective HP" column)</t>
  </si>
  <si>
    <t xml:space="preserve">How to read</t>
  </si>
  <si>
    <t xml:space="preserve">Blue numbers are inputs copied from scripts/defs.gd (game v0.7.18). Black numbers are formulas.</t>
  </si>
  <si>
    <t xml:space="preserve">Yellow cells are assumptions you can change; the Units sheet recalculates.</t>
  </si>
  <si>
    <t xml:space="preserve">Armor is flat: each hit loses the target's armor (minimum 1 damage). Acid strips 2 armor.</t>
  </si>
  <si>
    <t xml:space="preserve">Supply is per creature. Brood eggs hatch "Spawn" creatures, so an egg costs Supply x Spawn.</t>
  </si>
  <si>
    <t xml:space="preserve">Power = DPS x Effective HP: a rough "fight value" of one unit (Lanchester-style).</t>
  </si>
  <si>
    <t xml:space="preserve">Splash, cones, piercing, charges, spells and anti-air are not in DPS: see the Abilities column.</t>
  </si>
  <si>
    <t xml:space="preserve">Unit</t>
  </si>
  <si>
    <t xml:space="preserve">Worker</t>
  </si>
  <si>
    <t xml:space="preserve">Air</t>
  </si>
  <si>
    <t xml:space="preserve">Hits air</t>
  </si>
  <si>
    <t xml:space="preserve">Tags</t>
  </si>
  <si>
    <t xml:space="preserve">Cost</t>
  </si>
  <si>
    <t xml:space="preserve">Cost 2</t>
  </si>
  <si>
    <t xml:space="preserve">Spawn</t>
  </si>
  <si>
    <t xml:space="preserve">Supply</t>
  </si>
  <si>
    <t xml:space="preserve">Train time (s)</t>
  </si>
  <si>
    <t xml:space="preserve">HP</t>
  </si>
  <si>
    <t xml:space="preserve">Armor</t>
  </si>
  <si>
    <t xml:space="preserve">Speed</t>
  </si>
  <si>
    <t xml:space="preserve">Range</t>
  </si>
  <si>
    <t xml:space="preserve">Damage</t>
  </si>
  <si>
    <t xml:space="preserve">Cooldown (s)</t>
  </si>
  <si>
    <t xml:space="preserve">Splash</t>
  </si>
  <si>
    <t xml:space="preserve">Value per creature</t>
  </si>
  <si>
    <t xml:space="preserve">Supply per egg</t>
  </si>
  <si>
    <t xml:space="preserve">DPS</t>
  </si>
  <si>
    <t xml:space="preserve">DPS vs armor</t>
  </si>
  <si>
    <t xml:space="preserve">Effective HP</t>
  </si>
  <si>
    <t xml:space="preserve">Power (DPS x EHP)</t>
  </si>
  <si>
    <t xml:space="preserve">Power per value</t>
  </si>
  <si>
    <t xml:space="preserve">Power per supply</t>
  </si>
  <si>
    <t xml:space="preserve">DPS per value x100</t>
  </si>
  <si>
    <t xml:space="preserve">EHP per value</t>
  </si>
  <si>
    <t xml:space="preserve">Value per supply</t>
  </si>
  <si>
    <t xml:space="preserve">Abilities / notes</t>
  </si>
  <si>
    <t xml:space="preserve">Labourer</t>
  </si>
  <si>
    <t xml:space="preserve">yes</t>
  </si>
  <si>
    <t xml:space="preserve">light</t>
  </si>
  <si>
    <t xml:space="preserve">Mines gold and builds. Weak in a fight.</t>
  </si>
  <si>
    <t xml:space="preserve">Pikeman</t>
  </si>
  <si>
    <t xml:space="preserve">armored</t>
  </si>
  <si>
    <t xml:space="preserve">Tough melee. Wrecks cannons, brutes and cavalry up close.</t>
  </si>
  <si>
    <t xml:space="preserve">Musketeer</t>
  </si>
  <si>
    <t xml:space="preserve">Ranged line infantry. Long reload. Needs a Powder Mill; each shot burns powder.</t>
  </si>
  <si>
    <t xml:space="preserve">Missionary</t>
  </si>
  <si>
    <t xml:space="preserve">Bandages wounded soldiers back to full health. Can't be hurt unless near enemy buildings. One per Church.</t>
  </si>
  <si>
    <t xml:space="preserve">Observation Balloon</t>
  </si>
  <si>
    <t xml:space="preserve">A snipers' nest in the sky: two musketeers who each shoot at the ground or at flyers, and a long view for your cannons. LOAD up to 4 Musketeers, Pikemen or Labourers (carried Musketeers fire from the basket) and UNLOAD them anywhere, even over cliffs. Slow and fragile. Each shot burns powder.</t>
  </si>
  <si>
    <t xml:space="preserve">Cuirassier</t>
  </si>
  <si>
    <t xml:space="preserve">Fast armoured horseman with a sabre. After a gallop his first blow hits double and throws the enemy back. Pikes beat him.</t>
  </si>
  <si>
    <t xml:space="preserve">Field Cannon</t>
  </si>
  <si>
    <t xml:space="preserve">Artillery. Limbered, the horse tows it; unlimber (2.5 s) to fire. Round shot reaches further than it can see: other units must spot for it. Canister also hits flyers.</t>
  </si>
  <si>
    <t xml:space="preserve">Grub</t>
  </si>
  <si>
    <t xml:space="preserve">Hauls food from Feeding Pits to a Hive (longer hauls pay more). Turns into buildings.</t>
  </si>
  <si>
    <t xml:space="preserve">Bloater</t>
  </si>
  <si>
    <t xml:space="preserve">A floating gas sac full of acid. It spits acid from afar, but every glob uses up gas; out of gas it deflates (slower, harmless) and slowly fills up again, faster on swamp. On HOLD GAS it keeps it all and drifts in to burst as a huge acid bomb. Used up when it bursts.</t>
  </si>
  <si>
    <t xml:space="preserve">Raptors</t>
  </si>
  <si>
    <t xml:space="preserve">Fast, flimsy claws. Three hatch from each egg.</t>
  </si>
  <si>
    <t xml:space="preserve">Spitters</t>
  </si>
  <si>
    <t xml:space="preserve">Spit acid that burns and strips armour. Two hatch from each egg.</t>
  </si>
  <si>
    <t xml:space="preserve">Skywing</t>
  </si>
  <si>
    <t xml:space="preserve">Flying, it hunts other flyers with volleys of spines (it can't touch the ground). LAND it (1.2 s) to fight on the ground with its bite: then it walks, can't cross cliffs, and anything can hit it. Costs essence.</t>
  </si>
  <si>
    <t xml:space="preserve">Brute</t>
  </si>
  <si>
    <t xml:space="preserve">Huge horned tank. Charges in and knocks enemies back.</t>
  </si>
  <si>
    <t xml:space="preserve">Spore Mother</t>
  </si>
  <si>
    <t xml:space="preserve">Walking, she can't attack. ROOT her (2.5 s): she lobs big spit blobs that splash a whole area, and spreads swamp. Casts MIASMA, a cloud that heals the Brood.</t>
  </si>
  <si>
    <t xml:space="preserve">Winder</t>
  </si>
  <si>
    <t xml:space="preserve">Cranks Boilers for energy, starts buildings and repairs constructs and buildings.</t>
  </si>
  <si>
    <t xml:space="preserve">Ornithopter</t>
  </si>
  <si>
    <t xml:space="preserve">Fast clockwork flyer with a lightning gun, deadliest against other flyers. On COURIER it fetches charged batteries and winds up stranded constructs; OVERLOAD dumps its battery into one construct (faster, harder hitting for 12 s). Like every construct it winds down away from a field.</t>
  </si>
  <si>
    <t xml:space="preserve">Stormcaller</t>
  </si>
  <si>
    <t xml:space="preserve">Fragile lightning caster. STORM stuns everything inside it, friends too. Its charge only fills inside a Clockwork field.</t>
  </si>
  <si>
    <t xml:space="preserve">Bolt Automaton</t>
  </si>
  <si>
    <t xml:space="preserve">Crossbow bolts pierce up to three enemies in a line.</t>
  </si>
  <si>
    <t xml:space="preserve">Gearknight</t>
  </si>
  <si>
    <t xml:space="preserve">Iron knight. Very hard to kill; slowly repairs itself.</t>
  </si>
  <si>
    <t xml:space="preserve">Tesla Cart</t>
  </si>
  <si>
    <t xml:space="preserve">Rolls packed; deploy it (3 s) to power nearby constructs and zap enemies in chains.</t>
  </si>
  <si>
    <t xml:space="preserve">Steam Walker</t>
  </si>
  <si>
    <t xml:space="preserve">Scalding steam hits everything in front of it. Melts swarms and buildings.</t>
  </si>
  <si>
    <t xml:space="preserve">Army averages per faction (workers excluded)</t>
  </si>
  <si>
    <t xml:space="preserve">Units</t>
  </si>
  <si>
    <t xml:space="preserve">Avg value/creature</t>
  </si>
  <si>
    <t xml:space="preserve">Avg DPS</t>
  </si>
  <si>
    <t xml:space="preserve">Avg EHP</t>
  </si>
  <si>
    <t xml:space="preserve">Avg power per value</t>
  </si>
  <si>
    <t xml:space="preserve">Avg value per supply</t>
  </si>
  <si>
    <t xml:space="preserve">Max supply</t>
  </si>
  <si>
    <t xml:space="preserve">Max army value at cap = Avg value per supply x (Max supply - workers). Clockwork: few, tough; Brood: many, cheap.</t>
  </si>
  <si>
    <t xml:space="preserve">Building</t>
  </si>
  <si>
    <t xml:space="preserve">Build time (s)</t>
  </si>
  <si>
    <t xml:space="preserve">Size</t>
  </si>
  <si>
    <t xml:space="preserve">Crew</t>
  </si>
  <si>
    <t xml:space="preserve">Per hall</t>
  </si>
  <si>
    <t xml:space="preserve">Trains</t>
  </si>
  <si>
    <t xml:space="preserve">Notes</t>
  </si>
  <si>
    <t xml:space="preserve">Stone Wall</t>
  </si>
  <si>
    <t xml:space="preserve">1x1</t>
  </si>
  <si>
    <t xml:space="preserve">Blocks the way. Lay it in a line: pick where it starts, then where it ends. Wall off your ramp and keep a gate.</t>
  </si>
  <si>
    <t xml:space="preserve">Gate</t>
  </si>
  <si>
    <t xml:space="preserve">A piece of wall that opens for your own side and your allies, and stays shut to the enemy. Lay it straight onto your own wall to swap a piece for a gate. It faces the way the wall runs; ROTATE turns it by hand.</t>
  </si>
  <si>
    <t xml:space="preserve">Cottage</t>
  </si>
  <si>
    <t xml:space="preserve">2x2</t>
  </si>
  <si>
    <t xml:space="preserve">Houses 8 more supply.</t>
  </si>
  <si>
    <t xml:space="preserve">Farm</t>
  </si>
  <si>
    <t xml:space="preserve">3x3</t>
  </si>
  <si>
    <t xml:space="preserve">Ripens into a 350-gold harvest. Up to 3 labourers make it grow faster.</t>
  </si>
  <si>
    <t xml:space="preserve">Powder Mill</t>
  </si>
  <si>
    <t xml:space="preserve">Labourers grind black powder. Muskets and cannons can't fire without it.</t>
  </si>
  <si>
    <t xml:space="preserve">Barracks</t>
  </si>
  <si>
    <t xml:space="preserve">4x3</t>
  </si>
  <si>
    <t xml:space="preserve">Musketeer, Pikeman, Cuirassier</t>
  </si>
  <si>
    <t xml:space="preserve">Trains musketeers, pikemen and (with a Foundry) cuirassiers.</t>
  </si>
  <si>
    <t xml:space="preserve">Church</t>
  </si>
  <si>
    <t xml:space="preserve">Sends out one Missionary. Needs a Barracks.</t>
  </si>
  <si>
    <t xml:space="preserve">Foundry</t>
  </si>
  <si>
    <t xml:space="preserve">Field Cannon, Observation Balloon</t>
  </si>
  <si>
    <t xml:space="preserve">Casts field cannons and rigs observation balloons. Lets the Barracks train cuirassiers. Needs a Barracks.</t>
  </si>
  <si>
    <t xml:space="preserve">Town Hall</t>
  </si>
  <si>
    <t xml:space="preserve">5x4</t>
  </si>
  <si>
    <t xml:space="preserve">Trains labourers. Each Town Hall allows 4 Farms and a Powder Mill nearby.</t>
  </si>
  <si>
    <t xml:space="preserve">Clutch Mound</t>
  </si>
  <si>
    <t xml:space="preserve">12 more supply. Spreads swamp. Each one makes your Hives lay eggs 10% faster (up to 3).</t>
  </si>
  <si>
    <t xml:space="preserve">Feeding Pit</t>
  </si>
  <si>
    <t xml:space="preserve">Up to 5 grubs haul food from here to the nearest Hive. Far from a Hive = richer food.</t>
  </si>
  <si>
    <t xml:space="preserve">Spore Vent</t>
  </si>
  <si>
    <t xml:space="preserve">Spreads swamp far around it.</t>
  </si>
  <si>
    <t xml:space="preserve">Bone Midden</t>
  </si>
  <si>
    <t xml:space="preserve">Gathers essence from every body that falls nearby (and a little on its own).</t>
  </si>
  <si>
    <t xml:space="preserve">Warren</t>
  </si>
  <si>
    <t xml:space="preserve">Lets the Hive hatch Raptors and Spitters.</t>
  </si>
  <si>
    <t xml:space="preserve">Roost</t>
  </si>
  <si>
    <t xml:space="preserve">Lets the Hive hatch Skywings. Needs a Warren.</t>
  </si>
  <si>
    <t xml:space="preserve">Gorge Pit</t>
  </si>
  <si>
    <t xml:space="preserve">Lets the Hive hatch Brutes and Spore Mothers. Needs a Warren.</t>
  </si>
  <si>
    <t xml:space="preserve">Hive</t>
  </si>
  <si>
    <t xml:space="preserve">Grub, Raptors, Spitters, Brute, Skywing, Spore Mother, Bloater</t>
  </si>
  <si>
    <t xml:space="preserve">Lays eggs; every Brood unit hatches here. Grubs bring food here. Allows 3 Feeding Pits.</t>
  </si>
  <si>
    <t xml:space="preserve">Spring Tower</t>
  </si>
  <si>
    <t xml:space="preserve">10 more supply. Keeps nearby constructs wound up, and slowly fills batteries.</t>
  </si>
  <si>
    <t xml:space="preserve">Ore Crusher</t>
  </si>
  <si>
    <t xml:space="preserve">Winders bring batteries here and the charge becomes ore. The farther a battery travelled, the more it holds.</t>
  </si>
  <si>
    <t xml:space="preserve">Boiler</t>
  </si>
  <si>
    <t xml:space="preserve">Fills a battery every second by itself. Up to 7 Winders carry them to Ore Crushers. Unlocks Bolt Automatons.</t>
  </si>
  <si>
    <t xml:space="preserve">Charging Pylon</t>
  </si>
  <si>
    <t xml:space="preserve">Winds up and slowly mends constructs nearby. Unlocks the Tesla Cart and the Stormcaller.</t>
  </si>
  <si>
    <t xml:space="preserve">Drill Rig</t>
  </si>
  <si>
    <t xml:space="preserve">Build it next to a gold mine: it drills gold by itself. One per mine.</t>
  </si>
  <si>
    <t xml:space="preserve">Assembly Works</t>
  </si>
  <si>
    <t xml:space="preserve">Gearknight, Bolt Automaton, Steam Walker, Tesla Cart, Stormcaller, Ornithopter</t>
  </si>
  <si>
    <t xml:space="preserve">Assembles every combat construct. Faster with more energy on assembly.</t>
  </si>
  <si>
    <t xml:space="preserve">Capacitor Works</t>
  </si>
  <si>
    <t xml:space="preserve">Blue energy: every source fills blue batteries, with more charge and more time before they overload. Needs an Assembly Works.</t>
  </si>
  <si>
    <t xml:space="preserve">Clocktower</t>
  </si>
  <si>
    <t xml:space="preserve">Builds Winders and fills a battery every 2 s. Allows 2 Boilers and 2 Ore Crushers nearby.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</si>
</sst>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#"/>
    <numFmt numFmtId="167" formatCode="0.0"/>
    <numFmt numFmtId="168" formatCode="#,##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CE8F5"/>
      </patternFill>
    </fill>
    <fill>
      <patternFill patternType="solid">
        <fgColor rgb="FFFFFF00"/>
        <bgColor rgb="FFFFFF00"/>
      </patternFill>
    </fill>
    <fill>
      <patternFill patternType="solid">
        <fgColor rgb="FFFCE9D6"/>
        <bgColor rgb="FFE5F2DC"/>
      </patternFill>
    </fill>
    <fill>
      <patternFill patternType="solid">
        <fgColor rgb="FFE5F2DC"/>
        <bgColor rgb="FFDCE8F5"/>
      </patternFill>
    </fill>
    <fill>
      <patternFill patternType="solid">
        <fgColor rgb="FFDCE8F5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CE8F5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E5F2DC"/>
          <bgColor rgb="FF000000"/>
        </patternFill>
      </fill>
    </dxf>
    <dxf>
      <fill>
        <patternFill patternType="solid">
          <fgColor rgb="FFFCE9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9D6"/>
      <rgbColor rgb="FFDCE8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F2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4"/>
    <col collapsed="false" customWidth="true" hidden="false" outlineLevel="0" max="3" min="3" style="0" width="2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5" t="n">
        <v>3</v>
      </c>
    </row>
    <row r="6" customFormat="false" ht="15" hidden="false" customHeight="false" outlineLevel="0" collapsed="false">
      <c r="A6" s="4" t="s">
        <v>7</v>
      </c>
      <c r="B6" s="4" t="s">
        <v>8</v>
      </c>
      <c r="C6" s="5" t="n">
        <v>5</v>
      </c>
    </row>
    <row r="7" customFormat="false" ht="15" hidden="false" customHeight="false" outlineLevel="0" collapsed="false">
      <c r="A7" s="4" t="s">
        <v>9</v>
      </c>
      <c r="B7" s="4" t="s">
        <v>10</v>
      </c>
      <c r="C7" s="5" t="n">
        <v>3</v>
      </c>
    </row>
    <row r="9" customFormat="false" ht="15" hidden="false" customHeight="false" outlineLevel="0" collapsed="false">
      <c r="A9" s="2" t="s">
        <v>11</v>
      </c>
      <c r="C9" s="5" t="n">
        <v>2</v>
      </c>
    </row>
    <row r="10" customFormat="false" ht="15" hidden="false" customHeight="false" outlineLevel="0" collapsed="false">
      <c r="A10" s="2" t="s">
        <v>12</v>
      </c>
      <c r="C10" s="5" t="n">
        <v>10</v>
      </c>
    </row>
    <row r="12" customFormat="false" ht="15" hidden="false" customHeight="false" outlineLevel="0" collapsed="false">
      <c r="A12" s="2" t="s">
        <v>13</v>
      </c>
    </row>
    <row r="13" customFormat="false" ht="15" hidden="false" customHeight="false" outlineLevel="0" collapsed="false">
      <c r="A13" s="4" t="s">
        <v>14</v>
      </c>
    </row>
    <row r="14" customFormat="false" ht="15" hidden="false" customHeight="false" outlineLevel="0" collapsed="false">
      <c r="A14" s="4" t="s">
        <v>15</v>
      </c>
    </row>
    <row r="15" customFormat="false" ht="15" hidden="false" customHeight="false" outlineLevel="0" collapsed="false">
      <c r="A15" s="4" t="s">
        <v>16</v>
      </c>
    </row>
    <row r="16" customFormat="false" ht="15" hidden="false" customHeight="false" outlineLevel="0" collapsed="false">
      <c r="A16" s="4" t="s">
        <v>17</v>
      </c>
    </row>
    <row r="17" customFormat="false" ht="15" hidden="false" customHeight="false" outlineLevel="0" collapsed="false">
      <c r="A17" s="4" t="s">
        <v>18</v>
      </c>
    </row>
    <row r="18" customFormat="false" ht="15" hidden="false" customHeight="false" outlineLevel="0" collapsed="false">
      <c r="A18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10" min="7" style="0" width="7"/>
    <col collapsed="false" customWidth="true" hidden="false" outlineLevel="0" max="11" min="11" style="0" width="8"/>
    <col collapsed="false" customWidth="true" hidden="false" outlineLevel="0" max="15" min="12" style="0" width="6"/>
    <col collapsed="false" customWidth="true" hidden="false" outlineLevel="0" max="16" min="16" style="0" width="7"/>
    <col collapsed="false" customWidth="true" hidden="false" outlineLevel="0" max="17" min="17" style="0" width="9"/>
    <col collapsed="false" customWidth="true" hidden="false" outlineLevel="0" max="18" min="18" style="0" width="6"/>
    <col collapsed="false" customWidth="true" hidden="false" outlineLevel="0" max="19" min="19" style="0" width="9"/>
    <col collapsed="false" customWidth="true" hidden="false" outlineLevel="0" max="20" min="20" style="0" width="8"/>
    <col collapsed="false" customWidth="true" hidden="false" outlineLevel="0" max="21" min="21" style="0" width="7"/>
    <col collapsed="false" customWidth="true" hidden="false" outlineLevel="0" max="22" min="22" style="0" width="8"/>
    <col collapsed="false" customWidth="true" hidden="false" outlineLevel="0" max="23" min="23" style="0" width="9"/>
    <col collapsed="false" customWidth="true" hidden="false" outlineLevel="0" max="24" min="24" style="0" width="11"/>
    <col collapsed="false" customWidth="true" hidden="false" outlineLevel="0" max="25" min="25" style="0" width="9"/>
    <col collapsed="false" customWidth="true" hidden="false" outlineLevel="0" max="26" min="26" style="0" width="10"/>
    <col collapsed="false" customWidth="true" hidden="false" outlineLevel="0" max="27" min="27" style="0" width="9"/>
    <col collapsed="false" customWidth="true" hidden="false" outlineLevel="0" max="29" min="28" style="0" width="8"/>
    <col collapsed="false" customWidth="true" hidden="false" outlineLevel="0" max="30" min="30" style="0" width="80"/>
  </cols>
  <sheetData>
    <row r="1" customFormat="false" ht="45" hidden="false" customHeight="true" outlineLevel="0" collapsed="false">
      <c r="A1" s="6" t="s">
        <v>2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  <c r="M1" s="6" t="s">
        <v>31</v>
      </c>
      <c r="N1" s="6" t="s">
        <v>32</v>
      </c>
      <c r="O1" s="6" t="s">
        <v>33</v>
      </c>
      <c r="P1" s="6" t="s">
        <v>34</v>
      </c>
      <c r="Q1" s="6" t="s">
        <v>35</v>
      </c>
      <c r="R1" s="6" t="s">
        <v>36</v>
      </c>
      <c r="S1" s="6" t="s">
        <v>37</v>
      </c>
      <c r="T1" s="6" t="s">
        <v>38</v>
      </c>
      <c r="U1" s="6" t="s">
        <v>39</v>
      </c>
      <c r="V1" s="6" t="s">
        <v>40</v>
      </c>
      <c r="W1" s="6" t="s">
        <v>41</v>
      </c>
      <c r="X1" s="6" t="s">
        <v>42</v>
      </c>
      <c r="Y1" s="6" t="s">
        <v>43</v>
      </c>
      <c r="Z1" s="6" t="s">
        <v>44</v>
      </c>
      <c r="AA1" s="6" t="s">
        <v>45</v>
      </c>
      <c r="AB1" s="6" t="s">
        <v>46</v>
      </c>
      <c r="AC1" s="6" t="s">
        <v>47</v>
      </c>
      <c r="AD1" s="6" t="s">
        <v>48</v>
      </c>
    </row>
    <row r="2" customFormat="false" ht="15" hidden="false" customHeight="false" outlineLevel="0" collapsed="false">
      <c r="A2" s="7" t="s">
        <v>5</v>
      </c>
      <c r="B2" s="7" t="s">
        <v>49</v>
      </c>
      <c r="C2" s="4" t="s">
        <v>50</v>
      </c>
      <c r="D2" s="4"/>
      <c r="E2" s="4"/>
      <c r="F2" s="4" t="s">
        <v>51</v>
      </c>
      <c r="G2" s="8" t="n">
        <v>50</v>
      </c>
      <c r="H2" s="8" t="n">
        <v>0</v>
      </c>
      <c r="I2" s="8" t="n">
        <v>1</v>
      </c>
      <c r="J2" s="8" t="n">
        <v>1</v>
      </c>
      <c r="K2" s="9" t="n">
        <v>12</v>
      </c>
      <c r="L2" s="8" t="n">
        <v>45</v>
      </c>
      <c r="M2" s="8" t="n">
        <v>0</v>
      </c>
      <c r="N2" s="8" t="n">
        <v>74</v>
      </c>
      <c r="O2" s="8" t="n">
        <v>20</v>
      </c>
      <c r="P2" s="8" t="n">
        <v>5</v>
      </c>
      <c r="Q2" s="10" t="n">
        <v>1.3</v>
      </c>
      <c r="R2" s="8" t="n">
        <v>0</v>
      </c>
      <c r="S2" s="11" t="n">
        <f aca="false">(G2+H2*Settings!$C$5)/I2</f>
        <v>50</v>
      </c>
      <c r="T2" s="4" t="n">
        <f aca="false">J2*I2</f>
        <v>1</v>
      </c>
      <c r="U2" s="11" t="n">
        <f aca="false">IF(Q2&gt;0,P2/Q2,0)</f>
        <v>3.84615384615385</v>
      </c>
      <c r="V2" s="11" t="n">
        <f aca="false">IF(Q2&gt;0,IF(P2&gt;0,MAX(1,P2-Settings!$C$9),0)/Q2,0)</f>
        <v>2.30769230769231</v>
      </c>
      <c r="W2" s="12" t="n">
        <f aca="false">L2*Settings!$C$10/MAX(1,Settings!$C$10-M2)</f>
        <v>45</v>
      </c>
      <c r="X2" s="13" t="n">
        <f aca="false">U2*W2</f>
        <v>173.076923076923</v>
      </c>
      <c r="Y2" s="11" t="n">
        <f aca="false">IF(S2&gt;0,X2/S2,0)</f>
        <v>3.46153846153846</v>
      </c>
      <c r="Z2" s="13" t="n">
        <f aca="false">IF(J2&gt;0,X2/J2,0)</f>
        <v>173.076923076923</v>
      </c>
      <c r="AA2" s="14" t="n">
        <f aca="false">IF(S2&gt;0,U2/S2*100,0)</f>
        <v>7.69230769230769</v>
      </c>
      <c r="AB2" s="14" t="n">
        <f aca="false">IF(S2&gt;0,W2/S2,0)</f>
        <v>0.9</v>
      </c>
      <c r="AC2" s="11" t="n">
        <f aca="false">IF(J2&gt;0,S2/J2,0)</f>
        <v>50</v>
      </c>
      <c r="AD2" s="15" t="s">
        <v>52</v>
      </c>
    </row>
    <row r="3" customFormat="false" ht="15" hidden="false" customHeight="false" outlineLevel="0" collapsed="false">
      <c r="A3" s="7" t="s">
        <v>5</v>
      </c>
      <c r="B3" s="7" t="s">
        <v>53</v>
      </c>
      <c r="C3" s="4"/>
      <c r="D3" s="4"/>
      <c r="E3" s="4"/>
      <c r="F3" s="4" t="s">
        <v>54</v>
      </c>
      <c r="G3" s="8" t="n">
        <v>50</v>
      </c>
      <c r="H3" s="8" t="n">
        <v>0</v>
      </c>
      <c r="I3" s="8" t="n">
        <v>1</v>
      </c>
      <c r="J3" s="8" t="n">
        <v>2</v>
      </c>
      <c r="K3" s="9" t="n">
        <v>13</v>
      </c>
      <c r="L3" s="8" t="n">
        <v>120</v>
      </c>
      <c r="M3" s="8" t="n">
        <v>2</v>
      </c>
      <c r="N3" s="8" t="n">
        <v>60</v>
      </c>
      <c r="O3" s="8" t="n">
        <v>30</v>
      </c>
      <c r="P3" s="8" t="n">
        <v>13</v>
      </c>
      <c r="Q3" s="10" t="n">
        <v>1.1</v>
      </c>
      <c r="R3" s="8" t="n">
        <v>0</v>
      </c>
      <c r="S3" s="11" t="n">
        <f aca="false">(G3+H3*Settings!$C$5)/I3</f>
        <v>50</v>
      </c>
      <c r="T3" s="4" t="n">
        <f aca="false">J3*I3</f>
        <v>2</v>
      </c>
      <c r="U3" s="11" t="n">
        <f aca="false">IF(Q3&gt;0,P3/Q3,0)</f>
        <v>11.8181818181818</v>
      </c>
      <c r="V3" s="11" t="n">
        <f aca="false">IF(Q3&gt;0,IF(P3&gt;0,MAX(1,P3-Settings!$C$9),0)/Q3,0)</f>
        <v>10</v>
      </c>
      <c r="W3" s="12" t="n">
        <f aca="false">L3*Settings!$C$10/MAX(1,Settings!$C$10-M3)</f>
        <v>150</v>
      </c>
      <c r="X3" s="13" t="n">
        <f aca="false">U3*W3</f>
        <v>1772.72727272727</v>
      </c>
      <c r="Y3" s="11" t="n">
        <f aca="false">IF(S3&gt;0,X3/S3,0)</f>
        <v>35.4545454545455</v>
      </c>
      <c r="Z3" s="13" t="n">
        <f aca="false">IF(J3&gt;0,X3/J3,0)</f>
        <v>886.363636363636</v>
      </c>
      <c r="AA3" s="14" t="n">
        <f aca="false">IF(S3&gt;0,U3/S3*100,0)</f>
        <v>23.6363636363636</v>
      </c>
      <c r="AB3" s="14" t="n">
        <f aca="false">IF(S3&gt;0,W3/S3,0)</f>
        <v>3</v>
      </c>
      <c r="AC3" s="11" t="n">
        <f aca="false">IF(J3&gt;0,S3/J3,0)</f>
        <v>25</v>
      </c>
      <c r="AD3" s="15" t="s">
        <v>55</v>
      </c>
    </row>
    <row r="4" customFormat="false" ht="15" hidden="false" customHeight="false" outlineLevel="0" collapsed="false">
      <c r="A4" s="7" t="s">
        <v>5</v>
      </c>
      <c r="B4" s="7" t="s">
        <v>56</v>
      </c>
      <c r="C4" s="4"/>
      <c r="D4" s="4"/>
      <c r="E4" s="4" t="s">
        <v>50</v>
      </c>
      <c r="F4" s="4" t="s">
        <v>51</v>
      </c>
      <c r="G4" s="8" t="n">
        <v>60</v>
      </c>
      <c r="H4" s="8" t="n">
        <v>10</v>
      </c>
      <c r="I4" s="8" t="n">
        <v>1</v>
      </c>
      <c r="J4" s="8" t="n">
        <v>2</v>
      </c>
      <c r="K4" s="9" t="n">
        <v>15</v>
      </c>
      <c r="L4" s="8" t="n">
        <v>70</v>
      </c>
      <c r="M4" s="8" t="n">
        <v>0</v>
      </c>
      <c r="N4" s="8" t="n">
        <v>62</v>
      </c>
      <c r="O4" s="8" t="n">
        <v>190</v>
      </c>
      <c r="P4" s="8" t="n">
        <v>20</v>
      </c>
      <c r="Q4" s="10" t="n">
        <v>2.8</v>
      </c>
      <c r="R4" s="8" t="n">
        <v>0</v>
      </c>
      <c r="S4" s="11" t="n">
        <f aca="false">(G4+H4*Settings!$C$5)/I4</f>
        <v>90</v>
      </c>
      <c r="T4" s="4" t="n">
        <f aca="false">J4*I4</f>
        <v>2</v>
      </c>
      <c r="U4" s="11" t="n">
        <f aca="false">IF(Q4&gt;0,P4/Q4,0)</f>
        <v>7.14285714285714</v>
      </c>
      <c r="V4" s="11" t="n">
        <f aca="false">IF(Q4&gt;0,IF(P4&gt;0,MAX(1,P4-Settings!$C$9),0)/Q4,0)</f>
        <v>6.42857142857143</v>
      </c>
      <c r="W4" s="12" t="n">
        <f aca="false">L4*Settings!$C$10/MAX(1,Settings!$C$10-M4)</f>
        <v>70</v>
      </c>
      <c r="X4" s="13" t="n">
        <f aca="false">U4*W4</f>
        <v>500</v>
      </c>
      <c r="Y4" s="11" t="n">
        <f aca="false">IF(S4&gt;0,X4/S4,0)</f>
        <v>5.55555555555556</v>
      </c>
      <c r="Z4" s="13" t="n">
        <f aca="false">IF(J4&gt;0,X4/J4,0)</f>
        <v>250</v>
      </c>
      <c r="AA4" s="14" t="n">
        <f aca="false">IF(S4&gt;0,U4/S4*100,0)</f>
        <v>7.93650793650794</v>
      </c>
      <c r="AB4" s="14" t="n">
        <f aca="false">IF(S4&gt;0,W4/S4,0)</f>
        <v>0.777777777777778</v>
      </c>
      <c r="AC4" s="11" t="n">
        <f aca="false">IF(J4&gt;0,S4/J4,0)</f>
        <v>45</v>
      </c>
      <c r="AD4" s="15" t="s">
        <v>57</v>
      </c>
    </row>
    <row r="5" customFormat="false" ht="26.85" hidden="false" customHeight="false" outlineLevel="0" collapsed="false">
      <c r="A5" s="7" t="s">
        <v>5</v>
      </c>
      <c r="B5" s="7" t="s">
        <v>58</v>
      </c>
      <c r="C5" s="4"/>
      <c r="D5" s="4"/>
      <c r="E5" s="4"/>
      <c r="F5" s="4" t="s">
        <v>51</v>
      </c>
      <c r="G5" s="8" t="n">
        <v>125</v>
      </c>
      <c r="H5" s="8" t="n">
        <v>0</v>
      </c>
      <c r="I5" s="8" t="n">
        <v>1</v>
      </c>
      <c r="J5" s="8" t="n">
        <v>1</v>
      </c>
      <c r="K5" s="9" t="n">
        <v>20</v>
      </c>
      <c r="L5" s="8" t="n">
        <v>60</v>
      </c>
      <c r="M5" s="8" t="n">
        <v>0</v>
      </c>
      <c r="N5" s="8" t="n">
        <v>62</v>
      </c>
      <c r="O5" s="8" t="n">
        <v>0</v>
      </c>
      <c r="P5" s="8" t="n">
        <v>0</v>
      </c>
      <c r="Q5" s="10" t="n">
        <v>1</v>
      </c>
      <c r="R5" s="8" t="n">
        <v>0</v>
      </c>
      <c r="S5" s="11" t="n">
        <f aca="false">(G5+H5*Settings!$C$5)/I5</f>
        <v>125</v>
      </c>
      <c r="T5" s="4" t="n">
        <f aca="false">J5*I5</f>
        <v>1</v>
      </c>
      <c r="U5" s="11" t="n">
        <f aca="false">IF(Q5&gt;0,P5/Q5,0)</f>
        <v>0</v>
      </c>
      <c r="V5" s="11" t="n">
        <f aca="false">IF(Q5&gt;0,IF(P5&gt;0,MAX(1,P5-Settings!$C$9),0)/Q5,0)</f>
        <v>0</v>
      </c>
      <c r="W5" s="12" t="n">
        <f aca="false">L5*Settings!$C$10/MAX(1,Settings!$C$10-M5)</f>
        <v>60</v>
      </c>
      <c r="X5" s="13" t="n">
        <f aca="false">U5*W5</f>
        <v>0</v>
      </c>
      <c r="Y5" s="11" t="n">
        <f aca="false">IF(S5&gt;0,X5/S5,0)</f>
        <v>0</v>
      </c>
      <c r="Z5" s="13" t="n">
        <f aca="false">IF(J5&gt;0,X5/J5,0)</f>
        <v>0</v>
      </c>
      <c r="AA5" s="14" t="n">
        <f aca="false">IF(S5&gt;0,U5/S5*100,0)</f>
        <v>0</v>
      </c>
      <c r="AB5" s="14" t="n">
        <f aca="false">IF(S5&gt;0,W5/S5,0)</f>
        <v>0.48</v>
      </c>
      <c r="AC5" s="11" t="n">
        <f aca="false">IF(J5&gt;0,S5/J5,0)</f>
        <v>125</v>
      </c>
      <c r="AD5" s="15" t="s">
        <v>59</v>
      </c>
    </row>
    <row r="6" customFormat="false" ht="52.2" hidden="false" customHeight="false" outlineLevel="0" collapsed="false">
      <c r="A6" s="7" t="s">
        <v>5</v>
      </c>
      <c r="B6" s="7" t="s">
        <v>60</v>
      </c>
      <c r="C6" s="4"/>
      <c r="D6" s="4" t="s">
        <v>50</v>
      </c>
      <c r="E6" s="4" t="s">
        <v>50</v>
      </c>
      <c r="F6" s="4" t="s">
        <v>51</v>
      </c>
      <c r="G6" s="8" t="n">
        <v>175</v>
      </c>
      <c r="H6" s="8" t="n">
        <v>30</v>
      </c>
      <c r="I6" s="8" t="n">
        <v>1</v>
      </c>
      <c r="J6" s="8" t="n">
        <v>4</v>
      </c>
      <c r="K6" s="9" t="n">
        <v>30</v>
      </c>
      <c r="L6" s="8" t="n">
        <v>180</v>
      </c>
      <c r="M6" s="8" t="n">
        <v>0</v>
      </c>
      <c r="N6" s="8" t="n">
        <v>46</v>
      </c>
      <c r="O6" s="8" t="n">
        <v>220</v>
      </c>
      <c r="P6" s="8" t="n">
        <v>16</v>
      </c>
      <c r="Q6" s="10" t="n">
        <v>3</v>
      </c>
      <c r="R6" s="8" t="n">
        <v>0</v>
      </c>
      <c r="S6" s="11" t="n">
        <f aca="false">(G6+H6*Settings!$C$5)/I6</f>
        <v>265</v>
      </c>
      <c r="T6" s="4" t="n">
        <f aca="false">J6*I6</f>
        <v>4</v>
      </c>
      <c r="U6" s="11" t="n">
        <f aca="false">IF(Q6&gt;0,P6/Q6,0)</f>
        <v>5.33333333333333</v>
      </c>
      <c r="V6" s="11" t="n">
        <f aca="false">IF(Q6&gt;0,IF(P6&gt;0,MAX(1,P6-Settings!$C$9),0)/Q6,0)</f>
        <v>4.66666666666667</v>
      </c>
      <c r="W6" s="12" t="n">
        <f aca="false">L6*Settings!$C$10/MAX(1,Settings!$C$10-M6)</f>
        <v>180</v>
      </c>
      <c r="X6" s="13" t="n">
        <f aca="false">U6*W6</f>
        <v>960</v>
      </c>
      <c r="Y6" s="11" t="n">
        <f aca="false">IF(S6&gt;0,X6/S6,0)</f>
        <v>3.62264150943396</v>
      </c>
      <c r="Z6" s="13" t="n">
        <f aca="false">IF(J6&gt;0,X6/J6,0)</f>
        <v>240</v>
      </c>
      <c r="AA6" s="14" t="n">
        <f aca="false">IF(S6&gt;0,U6/S6*100,0)</f>
        <v>2.0125786163522</v>
      </c>
      <c r="AB6" s="14" t="n">
        <f aca="false">IF(S6&gt;0,W6/S6,0)</f>
        <v>0.679245283018868</v>
      </c>
      <c r="AC6" s="11" t="n">
        <f aca="false">IF(J6&gt;0,S6/J6,0)</f>
        <v>66.25</v>
      </c>
      <c r="AD6" s="15" t="s">
        <v>61</v>
      </c>
    </row>
    <row r="7" customFormat="false" ht="26.85" hidden="false" customHeight="false" outlineLevel="0" collapsed="false">
      <c r="A7" s="7" t="s">
        <v>5</v>
      </c>
      <c r="B7" s="7" t="s">
        <v>62</v>
      </c>
      <c r="C7" s="4"/>
      <c r="D7" s="4"/>
      <c r="E7" s="4"/>
      <c r="F7" s="4" t="s">
        <v>54</v>
      </c>
      <c r="G7" s="8" t="n">
        <v>175</v>
      </c>
      <c r="H7" s="8" t="n">
        <v>0</v>
      </c>
      <c r="I7" s="8" t="n">
        <v>1</v>
      </c>
      <c r="J7" s="8" t="n">
        <v>3</v>
      </c>
      <c r="K7" s="9" t="n">
        <v>24</v>
      </c>
      <c r="L7" s="8" t="n">
        <v>170</v>
      </c>
      <c r="M7" s="8" t="n">
        <v>2</v>
      </c>
      <c r="N7" s="8" t="n">
        <v>108</v>
      </c>
      <c r="O7" s="8" t="n">
        <v>26</v>
      </c>
      <c r="P7" s="8" t="n">
        <v>15</v>
      </c>
      <c r="Q7" s="10" t="n">
        <v>1.3</v>
      </c>
      <c r="R7" s="8" t="n">
        <v>0</v>
      </c>
      <c r="S7" s="11" t="n">
        <f aca="false">(G7+H7*Settings!$C$5)/I7</f>
        <v>175</v>
      </c>
      <c r="T7" s="4" t="n">
        <f aca="false">J7*I7</f>
        <v>3</v>
      </c>
      <c r="U7" s="11" t="n">
        <f aca="false">IF(Q7&gt;0,P7/Q7,0)</f>
        <v>11.5384615384615</v>
      </c>
      <c r="V7" s="11" t="n">
        <f aca="false">IF(Q7&gt;0,IF(P7&gt;0,MAX(1,P7-Settings!$C$9),0)/Q7,0)</f>
        <v>10</v>
      </c>
      <c r="W7" s="12" t="n">
        <f aca="false">L7*Settings!$C$10/MAX(1,Settings!$C$10-M7)</f>
        <v>212.5</v>
      </c>
      <c r="X7" s="13" t="n">
        <f aca="false">U7*W7</f>
        <v>2451.92307692308</v>
      </c>
      <c r="Y7" s="11" t="n">
        <f aca="false">IF(S7&gt;0,X7/S7,0)</f>
        <v>14.010989010989</v>
      </c>
      <c r="Z7" s="13" t="n">
        <f aca="false">IF(J7&gt;0,X7/J7,0)</f>
        <v>817.307692307692</v>
      </c>
      <c r="AA7" s="14" t="n">
        <f aca="false">IF(S7&gt;0,U7/S7*100,0)</f>
        <v>6.59340659340659</v>
      </c>
      <c r="AB7" s="14" t="n">
        <f aca="false">IF(S7&gt;0,W7/S7,0)</f>
        <v>1.21428571428571</v>
      </c>
      <c r="AC7" s="11" t="n">
        <f aca="false">IF(J7&gt;0,S7/J7,0)</f>
        <v>58.3333333333333</v>
      </c>
      <c r="AD7" s="15" t="s">
        <v>63</v>
      </c>
    </row>
    <row r="8" customFormat="false" ht="26.85" hidden="false" customHeight="false" outlineLevel="0" collapsed="false">
      <c r="A8" s="7" t="s">
        <v>5</v>
      </c>
      <c r="B8" s="7" t="s">
        <v>64</v>
      </c>
      <c r="C8" s="4"/>
      <c r="D8" s="4"/>
      <c r="E8" s="4"/>
      <c r="F8" s="4" t="s">
        <v>54</v>
      </c>
      <c r="G8" s="8" t="n">
        <v>200</v>
      </c>
      <c r="H8" s="8" t="n">
        <v>0</v>
      </c>
      <c r="I8" s="8" t="n">
        <v>1</v>
      </c>
      <c r="J8" s="8" t="n">
        <v>4</v>
      </c>
      <c r="K8" s="9" t="n">
        <v>32</v>
      </c>
      <c r="L8" s="8" t="n">
        <v>140</v>
      </c>
      <c r="M8" s="8" t="n">
        <v>1</v>
      </c>
      <c r="N8" s="8" t="n">
        <v>38</v>
      </c>
      <c r="O8" s="8" t="n">
        <v>430</v>
      </c>
      <c r="P8" s="8" t="n">
        <v>32</v>
      </c>
      <c r="Q8" s="10" t="n">
        <v>4.5</v>
      </c>
      <c r="R8" s="8" t="n">
        <v>46</v>
      </c>
      <c r="S8" s="11" t="n">
        <f aca="false">(G8+H8*Settings!$C$5)/I8</f>
        <v>200</v>
      </c>
      <c r="T8" s="4" t="n">
        <f aca="false">J8*I8</f>
        <v>4</v>
      </c>
      <c r="U8" s="11" t="n">
        <f aca="false">IF(Q8&gt;0,P8/Q8,0)</f>
        <v>7.11111111111111</v>
      </c>
      <c r="V8" s="11" t="n">
        <f aca="false">IF(Q8&gt;0,IF(P8&gt;0,MAX(1,P8-Settings!$C$9),0)/Q8,0)</f>
        <v>6.66666666666667</v>
      </c>
      <c r="W8" s="12" t="n">
        <f aca="false">L8*Settings!$C$10/MAX(1,Settings!$C$10-M8)</f>
        <v>155.555555555556</v>
      </c>
      <c r="X8" s="13" t="n">
        <f aca="false">U8*W8</f>
        <v>1106.17283950617</v>
      </c>
      <c r="Y8" s="11" t="n">
        <f aca="false">IF(S8&gt;0,X8/S8,0)</f>
        <v>5.53086419753086</v>
      </c>
      <c r="Z8" s="13" t="n">
        <f aca="false">IF(J8&gt;0,X8/J8,0)</f>
        <v>276.543209876543</v>
      </c>
      <c r="AA8" s="14" t="n">
        <f aca="false">IF(S8&gt;0,U8/S8*100,0)</f>
        <v>3.55555555555556</v>
      </c>
      <c r="AB8" s="14" t="n">
        <f aca="false">IF(S8&gt;0,W8/S8,0)</f>
        <v>0.777777777777778</v>
      </c>
      <c r="AC8" s="11" t="n">
        <f aca="false">IF(J8&gt;0,S8/J8,0)</f>
        <v>50</v>
      </c>
      <c r="AD8" s="15" t="s">
        <v>65</v>
      </c>
    </row>
    <row r="9" customFormat="false" ht="15" hidden="false" customHeight="false" outlineLevel="0" collapsed="false">
      <c r="A9" s="16" t="s">
        <v>7</v>
      </c>
      <c r="B9" s="16" t="s">
        <v>66</v>
      </c>
      <c r="C9" s="4" t="s">
        <v>50</v>
      </c>
      <c r="D9" s="4"/>
      <c r="E9" s="4"/>
      <c r="F9" s="4" t="s">
        <v>51</v>
      </c>
      <c r="G9" s="8" t="n">
        <v>50</v>
      </c>
      <c r="H9" s="8" t="n">
        <v>0</v>
      </c>
      <c r="I9" s="8" t="n">
        <v>1</v>
      </c>
      <c r="J9" s="8" t="n">
        <v>1</v>
      </c>
      <c r="K9" s="9" t="n">
        <v>12</v>
      </c>
      <c r="L9" s="8" t="n">
        <v>40</v>
      </c>
      <c r="M9" s="8" t="n">
        <v>0</v>
      </c>
      <c r="N9" s="8" t="n">
        <v>68</v>
      </c>
      <c r="O9" s="8" t="n">
        <v>18</v>
      </c>
      <c r="P9" s="8" t="n">
        <v>4</v>
      </c>
      <c r="Q9" s="10" t="n">
        <v>1.2</v>
      </c>
      <c r="R9" s="8" t="n">
        <v>0</v>
      </c>
      <c r="S9" s="11" t="n">
        <f aca="false">(G9+H9*Settings!$C$6)/I9</f>
        <v>50</v>
      </c>
      <c r="T9" s="4" t="n">
        <f aca="false">J9*I9</f>
        <v>1</v>
      </c>
      <c r="U9" s="11" t="n">
        <f aca="false">IF(Q9&gt;0,P9/Q9,0)</f>
        <v>3.33333333333333</v>
      </c>
      <c r="V9" s="11" t="n">
        <f aca="false">IF(Q9&gt;0,IF(P9&gt;0,MAX(1,P9-Settings!$C$9),0)/Q9,0)</f>
        <v>1.66666666666667</v>
      </c>
      <c r="W9" s="12" t="n">
        <f aca="false">L9*Settings!$C$10/MAX(1,Settings!$C$10-M9)</f>
        <v>40</v>
      </c>
      <c r="X9" s="13" t="n">
        <f aca="false">U9*W9</f>
        <v>133.333333333333</v>
      </c>
      <c r="Y9" s="11" t="n">
        <f aca="false">IF(S9&gt;0,X9/S9,0)</f>
        <v>2.66666666666667</v>
      </c>
      <c r="Z9" s="13" t="n">
        <f aca="false">IF(J9&gt;0,X9/J9,0)</f>
        <v>133.333333333333</v>
      </c>
      <c r="AA9" s="14" t="n">
        <f aca="false">IF(S9&gt;0,U9/S9*100,0)</f>
        <v>6.66666666666667</v>
      </c>
      <c r="AB9" s="14" t="n">
        <f aca="false">IF(S9&gt;0,W9/S9,0)</f>
        <v>0.8</v>
      </c>
      <c r="AC9" s="11" t="n">
        <f aca="false">IF(J9&gt;0,S9/J9,0)</f>
        <v>50</v>
      </c>
      <c r="AD9" s="15" t="s">
        <v>67</v>
      </c>
    </row>
    <row r="10" customFormat="false" ht="52.2" hidden="false" customHeight="false" outlineLevel="0" collapsed="false">
      <c r="A10" s="16" t="s">
        <v>7</v>
      </c>
      <c r="B10" s="16" t="s">
        <v>68</v>
      </c>
      <c r="C10" s="4"/>
      <c r="D10" s="4" t="s">
        <v>50</v>
      </c>
      <c r="E10" s="4"/>
      <c r="F10" s="4" t="s">
        <v>51</v>
      </c>
      <c r="G10" s="8" t="n">
        <v>50</v>
      </c>
      <c r="H10" s="8" t="n">
        <v>25</v>
      </c>
      <c r="I10" s="8" t="n">
        <v>1</v>
      </c>
      <c r="J10" s="8" t="n">
        <v>1</v>
      </c>
      <c r="K10" s="9" t="n">
        <v>14</v>
      </c>
      <c r="L10" s="8" t="n">
        <v>60</v>
      </c>
      <c r="M10" s="8" t="n">
        <v>0</v>
      </c>
      <c r="N10" s="8" t="n">
        <v>44</v>
      </c>
      <c r="O10" s="8" t="n">
        <v>160</v>
      </c>
      <c r="P10" s="8" t="n">
        <v>7</v>
      </c>
      <c r="Q10" s="10" t="n">
        <v>2.2</v>
      </c>
      <c r="R10" s="8" t="n">
        <v>0</v>
      </c>
      <c r="S10" s="11" t="n">
        <f aca="false">(G10+H10*Settings!$C$6)/I10</f>
        <v>175</v>
      </c>
      <c r="T10" s="4" t="n">
        <f aca="false">J10*I10</f>
        <v>1</v>
      </c>
      <c r="U10" s="11" t="n">
        <f aca="false">IF(Q10&gt;0,P10/Q10,0)</f>
        <v>3.18181818181818</v>
      </c>
      <c r="V10" s="11" t="n">
        <f aca="false">IF(Q10&gt;0,IF(P10&gt;0,MAX(1,P10-Settings!$C$9),0)/Q10,0)</f>
        <v>2.27272727272727</v>
      </c>
      <c r="W10" s="12" t="n">
        <f aca="false">L10*Settings!$C$10/MAX(1,Settings!$C$10-M10)</f>
        <v>60</v>
      </c>
      <c r="X10" s="13" t="n">
        <f aca="false">U10*W10</f>
        <v>190.909090909091</v>
      </c>
      <c r="Y10" s="11" t="n">
        <f aca="false">IF(S10&gt;0,X10/S10,0)</f>
        <v>1.09090909090909</v>
      </c>
      <c r="Z10" s="13" t="n">
        <f aca="false">IF(J10&gt;0,X10/J10,0)</f>
        <v>190.909090909091</v>
      </c>
      <c r="AA10" s="14" t="n">
        <f aca="false">IF(S10&gt;0,U10/S10*100,0)</f>
        <v>1.81818181818182</v>
      </c>
      <c r="AB10" s="14" t="n">
        <f aca="false">IF(S10&gt;0,W10/S10,0)</f>
        <v>0.342857142857143</v>
      </c>
      <c r="AC10" s="11" t="n">
        <f aca="false">IF(J10&gt;0,S10/J10,0)</f>
        <v>175</v>
      </c>
      <c r="AD10" s="15" t="s">
        <v>69</v>
      </c>
    </row>
    <row r="11" customFormat="false" ht="15" hidden="false" customHeight="false" outlineLevel="0" collapsed="false">
      <c r="A11" s="16" t="s">
        <v>7</v>
      </c>
      <c r="B11" s="16" t="s">
        <v>70</v>
      </c>
      <c r="C11" s="4"/>
      <c r="D11" s="4"/>
      <c r="E11" s="4"/>
      <c r="F11" s="4" t="s">
        <v>51</v>
      </c>
      <c r="G11" s="8" t="n">
        <v>75</v>
      </c>
      <c r="H11" s="8" t="n">
        <v>0</v>
      </c>
      <c r="I11" s="8" t="n">
        <v>3</v>
      </c>
      <c r="J11" s="8" t="n">
        <v>1</v>
      </c>
      <c r="K11" s="9" t="n">
        <v>11</v>
      </c>
      <c r="L11" s="8" t="n">
        <v>36</v>
      </c>
      <c r="M11" s="8" t="n">
        <v>0</v>
      </c>
      <c r="N11" s="8" t="n">
        <v>108</v>
      </c>
      <c r="O11" s="8" t="n">
        <v>22</v>
      </c>
      <c r="P11" s="8" t="n">
        <v>6</v>
      </c>
      <c r="Q11" s="10" t="n">
        <v>0.9</v>
      </c>
      <c r="R11" s="8" t="n">
        <v>0</v>
      </c>
      <c r="S11" s="11" t="n">
        <f aca="false">(G11+H11*Settings!$C$6)/I11</f>
        <v>25</v>
      </c>
      <c r="T11" s="4" t="n">
        <f aca="false">J11*I11</f>
        <v>3</v>
      </c>
      <c r="U11" s="11" t="n">
        <f aca="false">IF(Q11&gt;0,P11/Q11,0)</f>
        <v>6.66666666666667</v>
      </c>
      <c r="V11" s="11" t="n">
        <f aca="false">IF(Q11&gt;0,IF(P11&gt;0,MAX(1,P11-Settings!$C$9),0)/Q11,0)</f>
        <v>4.44444444444445</v>
      </c>
      <c r="W11" s="12" t="n">
        <f aca="false">L11*Settings!$C$10/MAX(1,Settings!$C$10-M11)</f>
        <v>36</v>
      </c>
      <c r="X11" s="13" t="n">
        <f aca="false">U11*W11</f>
        <v>240</v>
      </c>
      <c r="Y11" s="11" t="n">
        <f aca="false">IF(S11&gt;0,X11/S11,0)</f>
        <v>9.6</v>
      </c>
      <c r="Z11" s="13" t="n">
        <f aca="false">IF(J11&gt;0,X11/J11,0)</f>
        <v>240</v>
      </c>
      <c r="AA11" s="14" t="n">
        <f aca="false">IF(S11&gt;0,U11/S11*100,0)</f>
        <v>26.6666666666667</v>
      </c>
      <c r="AB11" s="14" t="n">
        <f aca="false">IF(S11&gt;0,W11/S11,0)</f>
        <v>1.44</v>
      </c>
      <c r="AC11" s="11" t="n">
        <f aca="false">IF(J11&gt;0,S11/J11,0)</f>
        <v>25</v>
      </c>
      <c r="AD11" s="15" t="s">
        <v>71</v>
      </c>
    </row>
    <row r="12" customFormat="false" ht="15" hidden="false" customHeight="false" outlineLevel="0" collapsed="false">
      <c r="A12" s="16" t="s">
        <v>7</v>
      </c>
      <c r="B12" s="16" t="s">
        <v>72</v>
      </c>
      <c r="C12" s="4"/>
      <c r="D12" s="4"/>
      <c r="E12" s="4" t="s">
        <v>50</v>
      </c>
      <c r="F12" s="4" t="s">
        <v>51</v>
      </c>
      <c r="G12" s="8" t="n">
        <v>90</v>
      </c>
      <c r="H12" s="8" t="n">
        <v>5</v>
      </c>
      <c r="I12" s="8" t="n">
        <v>2</v>
      </c>
      <c r="J12" s="8" t="n">
        <v>1</v>
      </c>
      <c r="K12" s="9" t="n">
        <v>13</v>
      </c>
      <c r="L12" s="8" t="n">
        <v>45</v>
      </c>
      <c r="M12" s="8" t="n">
        <v>0</v>
      </c>
      <c r="N12" s="8" t="n">
        <v>68</v>
      </c>
      <c r="O12" s="8" t="n">
        <v>150</v>
      </c>
      <c r="P12" s="8" t="n">
        <v>8</v>
      </c>
      <c r="Q12" s="10" t="n">
        <v>2</v>
      </c>
      <c r="R12" s="8" t="n">
        <v>0</v>
      </c>
      <c r="S12" s="11" t="n">
        <f aca="false">(G12+H12*Settings!$C$6)/I12</f>
        <v>57.5</v>
      </c>
      <c r="T12" s="4" t="n">
        <f aca="false">J12*I12</f>
        <v>2</v>
      </c>
      <c r="U12" s="11" t="n">
        <f aca="false">IF(Q12&gt;0,P12/Q12,0)</f>
        <v>4</v>
      </c>
      <c r="V12" s="11" t="n">
        <f aca="false">IF(Q12&gt;0,IF(P12&gt;0,MAX(1,P12-Settings!$C$9),0)/Q12,0)</f>
        <v>3</v>
      </c>
      <c r="W12" s="12" t="n">
        <f aca="false">L12*Settings!$C$10/MAX(1,Settings!$C$10-M12)</f>
        <v>45</v>
      </c>
      <c r="X12" s="13" t="n">
        <f aca="false">U12*W12</f>
        <v>180</v>
      </c>
      <c r="Y12" s="11" t="n">
        <f aca="false">IF(S12&gt;0,X12/S12,0)</f>
        <v>3.1304347826087</v>
      </c>
      <c r="Z12" s="13" t="n">
        <f aca="false">IF(J12&gt;0,X12/J12,0)</f>
        <v>180</v>
      </c>
      <c r="AA12" s="14" t="n">
        <f aca="false">IF(S12&gt;0,U12/S12*100,0)</f>
        <v>6.95652173913044</v>
      </c>
      <c r="AB12" s="14" t="n">
        <f aca="false">IF(S12&gt;0,W12/S12,0)</f>
        <v>0.782608695652174</v>
      </c>
      <c r="AC12" s="11" t="n">
        <f aca="false">IF(J12&gt;0,S12/J12,0)</f>
        <v>57.5</v>
      </c>
      <c r="AD12" s="15" t="s">
        <v>73</v>
      </c>
    </row>
    <row r="13" customFormat="false" ht="39.55" hidden="false" customHeight="false" outlineLevel="0" collapsed="false">
      <c r="A13" s="16" t="s">
        <v>7</v>
      </c>
      <c r="B13" s="16" t="s">
        <v>74</v>
      </c>
      <c r="C13" s="4"/>
      <c r="D13" s="4" t="s">
        <v>50</v>
      </c>
      <c r="E13" s="4" t="s">
        <v>50</v>
      </c>
      <c r="F13" s="4" t="s">
        <v>51</v>
      </c>
      <c r="G13" s="8" t="n">
        <v>100</v>
      </c>
      <c r="H13" s="8" t="n">
        <v>40</v>
      </c>
      <c r="I13" s="8" t="n">
        <v>1</v>
      </c>
      <c r="J13" s="8" t="n">
        <v>2</v>
      </c>
      <c r="K13" s="9" t="n">
        <v>16</v>
      </c>
      <c r="L13" s="8" t="n">
        <v>75</v>
      </c>
      <c r="M13" s="8" t="n">
        <v>0</v>
      </c>
      <c r="N13" s="8" t="n">
        <v>118</v>
      </c>
      <c r="O13" s="8" t="n">
        <v>130</v>
      </c>
      <c r="P13" s="8" t="n">
        <v>11</v>
      </c>
      <c r="Q13" s="10" t="n">
        <v>1.1</v>
      </c>
      <c r="R13" s="8" t="n">
        <v>0</v>
      </c>
      <c r="S13" s="11" t="n">
        <f aca="false">(G13+H13*Settings!$C$6)/I13</f>
        <v>300</v>
      </c>
      <c r="T13" s="4" t="n">
        <f aca="false">J13*I13</f>
        <v>2</v>
      </c>
      <c r="U13" s="11" t="n">
        <f aca="false">IF(Q13&gt;0,P13/Q13,0)</f>
        <v>10</v>
      </c>
      <c r="V13" s="11" t="n">
        <f aca="false">IF(Q13&gt;0,IF(P13&gt;0,MAX(1,P13-Settings!$C$9),0)/Q13,0)</f>
        <v>8.18181818181818</v>
      </c>
      <c r="W13" s="12" t="n">
        <f aca="false">L13*Settings!$C$10/MAX(1,Settings!$C$10-M13)</f>
        <v>75</v>
      </c>
      <c r="X13" s="13" t="n">
        <f aca="false">U13*W13</f>
        <v>750</v>
      </c>
      <c r="Y13" s="11" t="n">
        <f aca="false">IF(S13&gt;0,X13/S13,0)</f>
        <v>2.5</v>
      </c>
      <c r="Z13" s="13" t="n">
        <f aca="false">IF(J13&gt;0,X13/J13,0)</f>
        <v>375</v>
      </c>
      <c r="AA13" s="14" t="n">
        <f aca="false">IF(S13&gt;0,U13/S13*100,0)</f>
        <v>3.33333333333333</v>
      </c>
      <c r="AB13" s="14" t="n">
        <f aca="false">IF(S13&gt;0,W13/S13,0)</f>
        <v>0.25</v>
      </c>
      <c r="AC13" s="11" t="n">
        <f aca="false">IF(J13&gt;0,S13/J13,0)</f>
        <v>150</v>
      </c>
      <c r="AD13" s="15" t="s">
        <v>75</v>
      </c>
    </row>
    <row r="14" customFormat="false" ht="15" hidden="false" customHeight="false" outlineLevel="0" collapsed="false">
      <c r="A14" s="16" t="s">
        <v>7</v>
      </c>
      <c r="B14" s="16" t="s">
        <v>76</v>
      </c>
      <c r="C14" s="4"/>
      <c r="D14" s="4"/>
      <c r="E14" s="4"/>
      <c r="F14" s="4" t="s">
        <v>54</v>
      </c>
      <c r="G14" s="8" t="n">
        <v>150</v>
      </c>
      <c r="H14" s="8" t="n">
        <v>20</v>
      </c>
      <c r="I14" s="8" t="n">
        <v>1</v>
      </c>
      <c r="J14" s="8" t="n">
        <v>3</v>
      </c>
      <c r="K14" s="9" t="n">
        <v>22</v>
      </c>
      <c r="L14" s="8" t="n">
        <v>240</v>
      </c>
      <c r="M14" s="8" t="n">
        <v>2</v>
      </c>
      <c r="N14" s="8" t="n">
        <v>56</v>
      </c>
      <c r="O14" s="8" t="n">
        <v>28</v>
      </c>
      <c r="P14" s="8" t="n">
        <v>26</v>
      </c>
      <c r="Q14" s="10" t="n">
        <v>1.8</v>
      </c>
      <c r="R14" s="8" t="n">
        <v>0</v>
      </c>
      <c r="S14" s="11" t="n">
        <f aca="false">(G14+H14*Settings!$C$6)/I14</f>
        <v>250</v>
      </c>
      <c r="T14" s="4" t="n">
        <f aca="false">J14*I14</f>
        <v>3</v>
      </c>
      <c r="U14" s="11" t="n">
        <f aca="false">IF(Q14&gt;0,P14/Q14,0)</f>
        <v>14.4444444444444</v>
      </c>
      <c r="V14" s="11" t="n">
        <f aca="false">IF(Q14&gt;0,IF(P14&gt;0,MAX(1,P14-Settings!$C$9),0)/Q14,0)</f>
        <v>13.3333333333333</v>
      </c>
      <c r="W14" s="12" t="n">
        <f aca="false">L14*Settings!$C$10/MAX(1,Settings!$C$10-M14)</f>
        <v>300</v>
      </c>
      <c r="X14" s="13" t="n">
        <f aca="false">U14*W14</f>
        <v>4333.33333333333</v>
      </c>
      <c r="Y14" s="11" t="n">
        <f aca="false">IF(S14&gt;0,X14/S14,0)</f>
        <v>17.3333333333333</v>
      </c>
      <c r="Z14" s="13" t="n">
        <f aca="false">IF(J14&gt;0,X14/J14,0)</f>
        <v>1444.44444444444</v>
      </c>
      <c r="AA14" s="14" t="n">
        <f aca="false">IF(S14&gt;0,U14/S14*100,0)</f>
        <v>5.77777777777778</v>
      </c>
      <c r="AB14" s="14" t="n">
        <f aca="false">IF(S14&gt;0,W14/S14,0)</f>
        <v>1.2</v>
      </c>
      <c r="AC14" s="11" t="n">
        <f aca="false">IF(J14&gt;0,S14/J14,0)</f>
        <v>83.3333333333333</v>
      </c>
      <c r="AD14" s="15" t="s">
        <v>77</v>
      </c>
    </row>
    <row r="15" customFormat="false" ht="26.85" hidden="false" customHeight="false" outlineLevel="0" collapsed="false">
      <c r="A15" s="16" t="s">
        <v>7</v>
      </c>
      <c r="B15" s="16" t="s">
        <v>78</v>
      </c>
      <c r="C15" s="4"/>
      <c r="D15" s="4"/>
      <c r="E15" s="4"/>
      <c r="F15" s="4" t="s">
        <v>54</v>
      </c>
      <c r="G15" s="8" t="n">
        <v>175</v>
      </c>
      <c r="H15" s="8" t="n">
        <v>40</v>
      </c>
      <c r="I15" s="8" t="n">
        <v>1</v>
      </c>
      <c r="J15" s="8" t="n">
        <v>4</v>
      </c>
      <c r="K15" s="9" t="n">
        <v>26</v>
      </c>
      <c r="L15" s="8" t="n">
        <v>260</v>
      </c>
      <c r="M15" s="8" t="n">
        <v>1</v>
      </c>
      <c r="N15" s="8" t="n">
        <v>40</v>
      </c>
      <c r="O15" s="8" t="n">
        <v>300</v>
      </c>
      <c r="P15" s="8" t="n">
        <v>26</v>
      </c>
      <c r="Q15" s="10" t="n">
        <v>4</v>
      </c>
      <c r="R15" s="8" t="n">
        <v>50</v>
      </c>
      <c r="S15" s="11" t="n">
        <f aca="false">(G15+H15*Settings!$C$6)/I15</f>
        <v>375</v>
      </c>
      <c r="T15" s="4" t="n">
        <f aca="false">J15*I15</f>
        <v>4</v>
      </c>
      <c r="U15" s="11" t="n">
        <f aca="false">IF(Q15&gt;0,P15/Q15,0)</f>
        <v>6.5</v>
      </c>
      <c r="V15" s="11" t="n">
        <f aca="false">IF(Q15&gt;0,IF(P15&gt;0,MAX(1,P15-Settings!$C$9),0)/Q15,0)</f>
        <v>6</v>
      </c>
      <c r="W15" s="12" t="n">
        <f aca="false">L15*Settings!$C$10/MAX(1,Settings!$C$10-M15)</f>
        <v>288.888888888889</v>
      </c>
      <c r="X15" s="13" t="n">
        <f aca="false">U15*W15</f>
        <v>1877.77777777778</v>
      </c>
      <c r="Y15" s="11" t="n">
        <f aca="false">IF(S15&gt;0,X15/S15,0)</f>
        <v>5.00740740740741</v>
      </c>
      <c r="Z15" s="13" t="n">
        <f aca="false">IF(J15&gt;0,X15/J15,0)</f>
        <v>469.444444444444</v>
      </c>
      <c r="AA15" s="14" t="n">
        <f aca="false">IF(S15&gt;0,U15/S15*100,0)</f>
        <v>1.73333333333333</v>
      </c>
      <c r="AB15" s="14" t="n">
        <f aca="false">IF(S15&gt;0,W15/S15,0)</f>
        <v>0.770370370370371</v>
      </c>
      <c r="AC15" s="11" t="n">
        <f aca="false">IF(J15&gt;0,S15/J15,0)</f>
        <v>93.75</v>
      </c>
      <c r="AD15" s="15" t="s">
        <v>79</v>
      </c>
    </row>
    <row r="16" customFormat="false" ht="15" hidden="false" customHeight="false" outlineLevel="0" collapsed="false">
      <c r="A16" s="17" t="s">
        <v>9</v>
      </c>
      <c r="B16" s="17" t="s">
        <v>80</v>
      </c>
      <c r="C16" s="4" t="s">
        <v>50</v>
      </c>
      <c r="D16" s="4"/>
      <c r="E16" s="4"/>
      <c r="F16" s="4" t="s">
        <v>51</v>
      </c>
      <c r="G16" s="8" t="n">
        <v>60</v>
      </c>
      <c r="H16" s="8" t="n">
        <v>0</v>
      </c>
      <c r="I16" s="8" t="n">
        <v>1</v>
      </c>
      <c r="J16" s="8" t="n">
        <v>1</v>
      </c>
      <c r="K16" s="9" t="n">
        <v>14</v>
      </c>
      <c r="L16" s="8" t="n">
        <v>70</v>
      </c>
      <c r="M16" s="8" t="n">
        <v>1</v>
      </c>
      <c r="N16" s="8" t="n">
        <v>64</v>
      </c>
      <c r="O16" s="8" t="n">
        <v>20</v>
      </c>
      <c r="P16" s="8" t="n">
        <v>5</v>
      </c>
      <c r="Q16" s="10" t="n">
        <v>1.2</v>
      </c>
      <c r="R16" s="8" t="n">
        <v>0</v>
      </c>
      <c r="S16" s="11" t="n">
        <f aca="false">(G16+H16*Settings!$C$7)/I16</f>
        <v>60</v>
      </c>
      <c r="T16" s="4" t="n">
        <f aca="false">J16*I16</f>
        <v>1</v>
      </c>
      <c r="U16" s="11" t="n">
        <f aca="false">IF(Q16&gt;0,P16/Q16,0)</f>
        <v>4.16666666666667</v>
      </c>
      <c r="V16" s="11" t="n">
        <f aca="false">IF(Q16&gt;0,IF(P16&gt;0,MAX(1,P16-Settings!$C$9),0)/Q16,0)</f>
        <v>2.5</v>
      </c>
      <c r="W16" s="12" t="n">
        <f aca="false">L16*Settings!$C$10/MAX(1,Settings!$C$10-M16)</f>
        <v>77.7777777777778</v>
      </c>
      <c r="X16" s="13" t="n">
        <f aca="false">U16*W16</f>
        <v>324.074074074074</v>
      </c>
      <c r="Y16" s="11" t="n">
        <f aca="false">IF(S16&gt;0,X16/S16,0)</f>
        <v>5.40123456790124</v>
      </c>
      <c r="Z16" s="13" t="n">
        <f aca="false">IF(J16&gt;0,X16/J16,0)</f>
        <v>324.074074074074</v>
      </c>
      <c r="AA16" s="14" t="n">
        <f aca="false">IF(S16&gt;0,U16/S16*100,0)</f>
        <v>6.94444444444445</v>
      </c>
      <c r="AB16" s="14" t="n">
        <f aca="false">IF(S16&gt;0,W16/S16,0)</f>
        <v>1.2962962962963</v>
      </c>
      <c r="AC16" s="11" t="n">
        <f aca="false">IF(J16&gt;0,S16/J16,0)</f>
        <v>60</v>
      </c>
      <c r="AD16" s="15" t="s">
        <v>81</v>
      </c>
    </row>
    <row r="17" customFormat="false" ht="52.2" hidden="false" customHeight="false" outlineLevel="0" collapsed="false">
      <c r="A17" s="17" t="s">
        <v>9</v>
      </c>
      <c r="B17" s="17" t="s">
        <v>82</v>
      </c>
      <c r="C17" s="4"/>
      <c r="D17" s="4" t="s">
        <v>50</v>
      </c>
      <c r="E17" s="4" t="s">
        <v>50</v>
      </c>
      <c r="F17" s="4" t="s">
        <v>51</v>
      </c>
      <c r="G17" s="8" t="n">
        <v>150</v>
      </c>
      <c r="H17" s="8" t="n">
        <v>0</v>
      </c>
      <c r="I17" s="8" t="n">
        <v>1</v>
      </c>
      <c r="J17" s="8" t="n">
        <v>2</v>
      </c>
      <c r="K17" s="9" t="n">
        <v>22</v>
      </c>
      <c r="L17" s="8" t="n">
        <v>110</v>
      </c>
      <c r="M17" s="8" t="n">
        <v>1</v>
      </c>
      <c r="N17" s="8" t="n">
        <v>112</v>
      </c>
      <c r="O17" s="8" t="n">
        <v>140</v>
      </c>
      <c r="P17" s="8" t="n">
        <v>12</v>
      </c>
      <c r="Q17" s="10" t="n">
        <v>1.4</v>
      </c>
      <c r="R17" s="8" t="n">
        <v>0</v>
      </c>
      <c r="S17" s="11" t="n">
        <f aca="false">(G17+H17*Settings!$C$7)/I17</f>
        <v>150</v>
      </c>
      <c r="T17" s="4" t="n">
        <f aca="false">J17*I17</f>
        <v>2</v>
      </c>
      <c r="U17" s="11" t="n">
        <f aca="false">IF(Q17&gt;0,P17/Q17,0)</f>
        <v>8.57142857142857</v>
      </c>
      <c r="V17" s="11" t="n">
        <f aca="false">IF(Q17&gt;0,IF(P17&gt;0,MAX(1,P17-Settings!$C$9),0)/Q17,0)</f>
        <v>7.14285714285714</v>
      </c>
      <c r="W17" s="12" t="n">
        <f aca="false">L17*Settings!$C$10/MAX(1,Settings!$C$10-M17)</f>
        <v>122.222222222222</v>
      </c>
      <c r="X17" s="13" t="n">
        <f aca="false">U17*W17</f>
        <v>1047.61904761905</v>
      </c>
      <c r="Y17" s="11" t="n">
        <f aca="false">IF(S17&gt;0,X17/S17,0)</f>
        <v>6.98412698412699</v>
      </c>
      <c r="Z17" s="13" t="n">
        <f aca="false">IF(J17&gt;0,X17/J17,0)</f>
        <v>523.809523809524</v>
      </c>
      <c r="AA17" s="14" t="n">
        <f aca="false">IF(S17&gt;0,U17/S17*100,0)</f>
        <v>5.71428571428571</v>
      </c>
      <c r="AB17" s="14" t="n">
        <f aca="false">IF(S17&gt;0,W17/S17,0)</f>
        <v>0.814814814814815</v>
      </c>
      <c r="AC17" s="11" t="n">
        <f aca="false">IF(J17&gt;0,S17/J17,0)</f>
        <v>75</v>
      </c>
      <c r="AD17" s="15" t="s">
        <v>83</v>
      </c>
    </row>
    <row r="18" customFormat="false" ht="26.85" hidden="false" customHeight="false" outlineLevel="0" collapsed="false">
      <c r="A18" s="17" t="s">
        <v>9</v>
      </c>
      <c r="B18" s="17" t="s">
        <v>84</v>
      </c>
      <c r="C18" s="4"/>
      <c r="D18" s="4"/>
      <c r="E18" s="4" t="s">
        <v>50</v>
      </c>
      <c r="F18" s="4" t="s">
        <v>51</v>
      </c>
      <c r="G18" s="8" t="n">
        <v>150</v>
      </c>
      <c r="H18" s="8" t="n">
        <v>0</v>
      </c>
      <c r="I18" s="8" t="n">
        <v>1</v>
      </c>
      <c r="J18" s="8" t="n">
        <v>2</v>
      </c>
      <c r="K18" s="9" t="n">
        <v>24</v>
      </c>
      <c r="L18" s="8" t="n">
        <v>90</v>
      </c>
      <c r="M18" s="8" t="n">
        <v>0</v>
      </c>
      <c r="N18" s="8" t="n">
        <v>56</v>
      </c>
      <c r="O18" s="8" t="n">
        <v>120</v>
      </c>
      <c r="P18" s="8" t="n">
        <v>7</v>
      </c>
      <c r="Q18" s="10" t="n">
        <v>1.3</v>
      </c>
      <c r="R18" s="8" t="n">
        <v>0</v>
      </c>
      <c r="S18" s="11" t="n">
        <f aca="false">(G18+H18*Settings!$C$7)/I18</f>
        <v>150</v>
      </c>
      <c r="T18" s="4" t="n">
        <f aca="false">J18*I18</f>
        <v>2</v>
      </c>
      <c r="U18" s="11" t="n">
        <f aca="false">IF(Q18&gt;0,P18/Q18,0)</f>
        <v>5.38461538461538</v>
      </c>
      <c r="V18" s="11" t="n">
        <f aca="false">IF(Q18&gt;0,IF(P18&gt;0,MAX(1,P18-Settings!$C$9),0)/Q18,0)</f>
        <v>3.84615384615385</v>
      </c>
      <c r="W18" s="12" t="n">
        <f aca="false">L18*Settings!$C$10/MAX(1,Settings!$C$10-M18)</f>
        <v>90</v>
      </c>
      <c r="X18" s="13" t="n">
        <f aca="false">U18*W18</f>
        <v>484.615384615385</v>
      </c>
      <c r="Y18" s="11" t="n">
        <f aca="false">IF(S18&gt;0,X18/S18,0)</f>
        <v>3.23076923076923</v>
      </c>
      <c r="Z18" s="13" t="n">
        <f aca="false">IF(J18&gt;0,X18/J18,0)</f>
        <v>242.307692307692</v>
      </c>
      <c r="AA18" s="14" t="n">
        <f aca="false">IF(S18&gt;0,U18/S18*100,0)</f>
        <v>3.58974358974359</v>
      </c>
      <c r="AB18" s="14" t="n">
        <f aca="false">IF(S18&gt;0,W18/S18,0)</f>
        <v>0.6</v>
      </c>
      <c r="AC18" s="11" t="n">
        <f aca="false">IF(J18&gt;0,S18/J18,0)</f>
        <v>75</v>
      </c>
      <c r="AD18" s="15" t="s">
        <v>85</v>
      </c>
    </row>
    <row r="19" customFormat="false" ht="15" hidden="false" customHeight="false" outlineLevel="0" collapsed="false">
      <c r="A19" s="17" t="s">
        <v>9</v>
      </c>
      <c r="B19" s="17" t="s">
        <v>86</v>
      </c>
      <c r="C19" s="4"/>
      <c r="D19" s="4"/>
      <c r="E19" s="4" t="s">
        <v>50</v>
      </c>
      <c r="F19" s="4" t="s">
        <v>54</v>
      </c>
      <c r="G19" s="8" t="n">
        <v>160</v>
      </c>
      <c r="H19" s="8" t="n">
        <v>0</v>
      </c>
      <c r="I19" s="8" t="n">
        <v>1</v>
      </c>
      <c r="J19" s="8" t="n">
        <v>3</v>
      </c>
      <c r="K19" s="9" t="n">
        <v>22</v>
      </c>
      <c r="L19" s="8" t="n">
        <v>150</v>
      </c>
      <c r="M19" s="8" t="n">
        <v>1</v>
      </c>
      <c r="N19" s="8" t="n">
        <v>52</v>
      </c>
      <c r="O19" s="8" t="n">
        <v>230</v>
      </c>
      <c r="P19" s="8" t="n">
        <v>30</v>
      </c>
      <c r="Q19" s="10" t="n">
        <v>3</v>
      </c>
      <c r="R19" s="8" t="n">
        <v>0</v>
      </c>
      <c r="S19" s="11" t="n">
        <f aca="false">(G19+H19*Settings!$C$7)/I19</f>
        <v>160</v>
      </c>
      <c r="T19" s="4" t="n">
        <f aca="false">J19*I19</f>
        <v>3</v>
      </c>
      <c r="U19" s="11" t="n">
        <f aca="false">IF(Q19&gt;0,P19/Q19,0)</f>
        <v>10</v>
      </c>
      <c r="V19" s="11" t="n">
        <f aca="false">IF(Q19&gt;0,IF(P19&gt;0,MAX(1,P19-Settings!$C$9),0)/Q19,0)</f>
        <v>9.33333333333333</v>
      </c>
      <c r="W19" s="12" t="n">
        <f aca="false">L19*Settings!$C$10/MAX(1,Settings!$C$10-M19)</f>
        <v>166.666666666667</v>
      </c>
      <c r="X19" s="13" t="n">
        <f aca="false">U19*W19</f>
        <v>1666.66666666667</v>
      </c>
      <c r="Y19" s="11" t="n">
        <f aca="false">IF(S19&gt;0,X19/S19,0)</f>
        <v>10.4166666666667</v>
      </c>
      <c r="Z19" s="13" t="n">
        <f aca="false">IF(J19&gt;0,X19/J19,0)</f>
        <v>555.555555555556</v>
      </c>
      <c r="AA19" s="14" t="n">
        <f aca="false">IF(S19&gt;0,U19/S19*100,0)</f>
        <v>6.25</v>
      </c>
      <c r="AB19" s="14" t="n">
        <f aca="false">IF(S19&gt;0,W19/S19,0)</f>
        <v>1.04166666666667</v>
      </c>
      <c r="AC19" s="11" t="n">
        <f aca="false">IF(J19&gt;0,S19/J19,0)</f>
        <v>53.3333333333333</v>
      </c>
      <c r="AD19" s="15" t="s">
        <v>87</v>
      </c>
    </row>
    <row r="20" customFormat="false" ht="15" hidden="false" customHeight="false" outlineLevel="0" collapsed="false">
      <c r="A20" s="17" t="s">
        <v>9</v>
      </c>
      <c r="B20" s="17" t="s">
        <v>88</v>
      </c>
      <c r="C20" s="4"/>
      <c r="D20" s="4"/>
      <c r="E20" s="4"/>
      <c r="F20" s="4" t="s">
        <v>54</v>
      </c>
      <c r="G20" s="8" t="n">
        <v>170</v>
      </c>
      <c r="H20" s="8" t="n">
        <v>0</v>
      </c>
      <c r="I20" s="8" t="n">
        <v>1</v>
      </c>
      <c r="J20" s="8" t="n">
        <v>3</v>
      </c>
      <c r="K20" s="9" t="n">
        <v>24</v>
      </c>
      <c r="L20" s="8" t="n">
        <v>300</v>
      </c>
      <c r="M20" s="8" t="n">
        <v>3</v>
      </c>
      <c r="N20" s="8" t="n">
        <v>52</v>
      </c>
      <c r="O20" s="8" t="n">
        <v>26</v>
      </c>
      <c r="P20" s="8" t="n">
        <v>20</v>
      </c>
      <c r="Q20" s="10" t="n">
        <v>1.4</v>
      </c>
      <c r="R20" s="8" t="n">
        <v>0</v>
      </c>
      <c r="S20" s="11" t="n">
        <f aca="false">(G20+H20*Settings!$C$7)/I20</f>
        <v>170</v>
      </c>
      <c r="T20" s="4" t="n">
        <f aca="false">J20*I20</f>
        <v>3</v>
      </c>
      <c r="U20" s="11" t="n">
        <f aca="false">IF(Q20&gt;0,P20/Q20,0)</f>
        <v>14.2857142857143</v>
      </c>
      <c r="V20" s="11" t="n">
        <f aca="false">IF(Q20&gt;0,IF(P20&gt;0,MAX(1,P20-Settings!$C$9),0)/Q20,0)</f>
        <v>12.8571428571429</v>
      </c>
      <c r="W20" s="12" t="n">
        <f aca="false">L20*Settings!$C$10/MAX(1,Settings!$C$10-M20)</f>
        <v>428.571428571429</v>
      </c>
      <c r="X20" s="13" t="n">
        <f aca="false">U20*W20</f>
        <v>6122.44897959184</v>
      </c>
      <c r="Y20" s="11" t="n">
        <f aca="false">IF(S20&gt;0,X20/S20,0)</f>
        <v>36.0144057623049</v>
      </c>
      <c r="Z20" s="13" t="n">
        <f aca="false">IF(J20&gt;0,X20/J20,0)</f>
        <v>2040.81632653061</v>
      </c>
      <c r="AA20" s="14" t="n">
        <f aca="false">IF(S20&gt;0,U20/S20*100,0)</f>
        <v>8.40336134453782</v>
      </c>
      <c r="AB20" s="14" t="n">
        <f aca="false">IF(S20&gt;0,W20/S20,0)</f>
        <v>2.52100840336134</v>
      </c>
      <c r="AC20" s="11" t="n">
        <f aca="false">IF(J20&gt;0,S20/J20,0)</f>
        <v>56.6666666666667</v>
      </c>
      <c r="AD20" s="15" t="s">
        <v>89</v>
      </c>
    </row>
    <row r="21" customFormat="false" ht="15" hidden="false" customHeight="false" outlineLevel="0" collapsed="false">
      <c r="A21" s="17" t="s">
        <v>9</v>
      </c>
      <c r="B21" s="17" t="s">
        <v>90</v>
      </c>
      <c r="C21" s="4"/>
      <c r="D21" s="4"/>
      <c r="E21" s="4" t="s">
        <v>50</v>
      </c>
      <c r="F21" s="4" t="s">
        <v>54</v>
      </c>
      <c r="G21" s="8" t="n">
        <v>190</v>
      </c>
      <c r="H21" s="8" t="n">
        <v>0</v>
      </c>
      <c r="I21" s="8" t="n">
        <v>1</v>
      </c>
      <c r="J21" s="8" t="n">
        <v>3</v>
      </c>
      <c r="K21" s="9" t="n">
        <v>28</v>
      </c>
      <c r="L21" s="8" t="n">
        <v>240</v>
      </c>
      <c r="M21" s="8" t="n">
        <v>2</v>
      </c>
      <c r="N21" s="8" t="n">
        <v>50</v>
      </c>
      <c r="O21" s="8" t="n">
        <v>170</v>
      </c>
      <c r="P21" s="8" t="n">
        <v>14</v>
      </c>
      <c r="Q21" s="10" t="n">
        <v>1.6</v>
      </c>
      <c r="R21" s="8" t="n">
        <v>0</v>
      </c>
      <c r="S21" s="11" t="n">
        <f aca="false">(G21+H21*Settings!$C$7)/I21</f>
        <v>190</v>
      </c>
      <c r="T21" s="4" t="n">
        <f aca="false">J21*I21</f>
        <v>3</v>
      </c>
      <c r="U21" s="11" t="n">
        <f aca="false">IF(Q21&gt;0,P21/Q21,0)</f>
        <v>8.75</v>
      </c>
      <c r="V21" s="11" t="n">
        <f aca="false">IF(Q21&gt;0,IF(P21&gt;0,MAX(1,P21-Settings!$C$9),0)/Q21,0)</f>
        <v>7.5</v>
      </c>
      <c r="W21" s="12" t="n">
        <f aca="false">L21*Settings!$C$10/MAX(1,Settings!$C$10-M21)</f>
        <v>300</v>
      </c>
      <c r="X21" s="13" t="n">
        <f aca="false">U21*W21</f>
        <v>2625</v>
      </c>
      <c r="Y21" s="11" t="n">
        <f aca="false">IF(S21&gt;0,X21/S21,0)</f>
        <v>13.8157894736842</v>
      </c>
      <c r="Z21" s="13" t="n">
        <f aca="false">IF(J21&gt;0,X21/J21,0)</f>
        <v>875</v>
      </c>
      <c r="AA21" s="14" t="n">
        <f aca="false">IF(S21&gt;0,U21/S21*100,0)</f>
        <v>4.60526315789474</v>
      </c>
      <c r="AB21" s="14" t="n">
        <f aca="false">IF(S21&gt;0,W21/S21,0)</f>
        <v>1.57894736842105</v>
      </c>
      <c r="AC21" s="11" t="n">
        <f aca="false">IF(J21&gt;0,S21/J21,0)</f>
        <v>63.3333333333333</v>
      </c>
      <c r="AD21" s="15" t="s">
        <v>91</v>
      </c>
    </row>
    <row r="22" customFormat="false" ht="15" hidden="false" customHeight="false" outlineLevel="0" collapsed="false">
      <c r="A22" s="17" t="s">
        <v>9</v>
      </c>
      <c r="B22" s="17" t="s">
        <v>92</v>
      </c>
      <c r="C22" s="4"/>
      <c r="D22" s="4"/>
      <c r="E22" s="4"/>
      <c r="F22" s="4" t="s">
        <v>54</v>
      </c>
      <c r="G22" s="8" t="n">
        <v>260</v>
      </c>
      <c r="H22" s="8" t="n">
        <v>0</v>
      </c>
      <c r="I22" s="8" t="n">
        <v>1</v>
      </c>
      <c r="J22" s="8" t="n">
        <v>5</v>
      </c>
      <c r="K22" s="9" t="n">
        <v>34</v>
      </c>
      <c r="L22" s="8" t="n">
        <v>380</v>
      </c>
      <c r="M22" s="8" t="n">
        <v>2</v>
      </c>
      <c r="N22" s="8" t="n">
        <v>44</v>
      </c>
      <c r="O22" s="8" t="n">
        <v>72</v>
      </c>
      <c r="P22" s="8" t="n">
        <v>15</v>
      </c>
      <c r="Q22" s="10" t="n">
        <v>1.6</v>
      </c>
      <c r="R22" s="8" t="n">
        <v>0</v>
      </c>
      <c r="S22" s="11" t="n">
        <f aca="false">(G22+H22*Settings!$C$7)/I22</f>
        <v>260</v>
      </c>
      <c r="T22" s="4" t="n">
        <f aca="false">J22*I22</f>
        <v>5</v>
      </c>
      <c r="U22" s="11" t="n">
        <f aca="false">IF(Q22&gt;0,P22/Q22,0)</f>
        <v>9.375</v>
      </c>
      <c r="V22" s="11" t="n">
        <f aca="false">IF(Q22&gt;0,IF(P22&gt;0,MAX(1,P22-Settings!$C$9),0)/Q22,0)</f>
        <v>8.125</v>
      </c>
      <c r="W22" s="12" t="n">
        <f aca="false">L22*Settings!$C$10/MAX(1,Settings!$C$10-M22)</f>
        <v>475</v>
      </c>
      <c r="X22" s="13" t="n">
        <f aca="false">U22*W22</f>
        <v>4453.125</v>
      </c>
      <c r="Y22" s="11" t="n">
        <f aca="false">IF(S22&gt;0,X22/S22,0)</f>
        <v>17.1274038461538</v>
      </c>
      <c r="Z22" s="13" t="n">
        <f aca="false">IF(J22&gt;0,X22/J22,0)</f>
        <v>890.625</v>
      </c>
      <c r="AA22" s="14" t="n">
        <f aca="false">IF(S22&gt;0,U22/S22*100,0)</f>
        <v>3.60576923076923</v>
      </c>
      <c r="AB22" s="14" t="n">
        <f aca="false">IF(S22&gt;0,W22/S22,0)</f>
        <v>1.82692307692308</v>
      </c>
      <c r="AC22" s="11" t="n">
        <f aca="false">IF(J22&gt;0,S22/J22,0)</f>
        <v>52</v>
      </c>
      <c r="AD22" s="15" t="s">
        <v>93</v>
      </c>
    </row>
    <row r="25" customFormat="false" ht="15" hidden="false" customHeight="false" outlineLevel="0" collapsed="false">
      <c r="A25" s="2" t="s">
        <v>94</v>
      </c>
    </row>
    <row r="26" customFormat="false" ht="15" hidden="false" customHeight="false" outlineLevel="0" collapsed="false">
      <c r="A26" s="3" t="s">
        <v>2</v>
      </c>
      <c r="B26" s="3" t="s">
        <v>95</v>
      </c>
      <c r="C26" s="3" t="s">
        <v>96</v>
      </c>
      <c r="D26" s="3" t="s">
        <v>97</v>
      </c>
      <c r="E26" s="3" t="s">
        <v>98</v>
      </c>
      <c r="F26" s="3" t="s">
        <v>99</v>
      </c>
      <c r="G26" s="3" t="s">
        <v>100</v>
      </c>
      <c r="H26" s="3" t="s">
        <v>101</v>
      </c>
    </row>
    <row r="27" customFormat="false" ht="15" hidden="false" customHeight="false" outlineLevel="0" collapsed="false">
      <c r="A27" s="4" t="s">
        <v>5</v>
      </c>
      <c r="B27" s="4" t="n">
        <f aca="false">COUNTIFS(A2:A22,"crown",C2:C22,"&lt;&gt;yes")</f>
        <v>6</v>
      </c>
      <c r="C27" s="11" t="n">
        <f aca="false">AVERAGEIFS(S2:S22,A2:A22,"crown",C2:C22,"&lt;&gt;yes")</f>
        <v>150.833333333333</v>
      </c>
      <c r="D27" s="11" t="n">
        <f aca="false">AVERAGEIFS(U2:U22,A2:A22,"crown",C2:C22,"&lt;&gt;yes")</f>
        <v>7.15732415732416</v>
      </c>
      <c r="E27" s="11" t="n">
        <f aca="false">AVERAGEIFS(W2:W22,A2:A22,"crown",C2:C22,"&lt;&gt;yes")</f>
        <v>138.009259259259</v>
      </c>
      <c r="F27" s="11" t="n">
        <f aca="false">AVERAGEIFS(Y2:Y22,A2:A22,"crown",C2:C22,"&lt;&gt;yes")</f>
        <v>10.6957659546758</v>
      </c>
      <c r="G27" s="11" t="n">
        <f aca="false">AVERAGEIFS(AC2:AC22,A2:A22,"crown",C2:C22,"&lt;&gt;yes")</f>
        <v>61.5972222222222</v>
      </c>
      <c r="H27" s="8" t="n">
        <v>100</v>
      </c>
    </row>
    <row r="28" customFormat="false" ht="15" hidden="false" customHeight="false" outlineLevel="0" collapsed="false">
      <c r="A28" s="4" t="s">
        <v>7</v>
      </c>
      <c r="B28" s="4" t="n">
        <f aca="false">COUNTIFS(A2:A22,"brood",C2:C22,"&lt;&gt;yes")</f>
        <v>6</v>
      </c>
      <c r="C28" s="11" t="n">
        <f aca="false">AVERAGEIFS(S2:S22,A2:A22,"brood",C2:C22,"&lt;&gt;yes")</f>
        <v>197.083333333333</v>
      </c>
      <c r="D28" s="11" t="n">
        <f aca="false">AVERAGEIFS(U2:U22,A2:A22,"brood",C2:C22,"&lt;&gt;yes")</f>
        <v>7.46548821548822</v>
      </c>
      <c r="E28" s="11" t="n">
        <f aca="false">AVERAGEIFS(W2:W22,A2:A22,"brood",C2:C22,"&lt;&gt;yes")</f>
        <v>134.148148148148</v>
      </c>
      <c r="F28" s="11" t="n">
        <f aca="false">AVERAGEIFS(Y2:Y22,A2:A22,"brood",C2:C22,"&lt;&gt;yes")</f>
        <v>6.44368076904309</v>
      </c>
      <c r="G28" s="11" t="n">
        <f aca="false">AVERAGEIFS(AC2:AC22,A2:A22,"brood",C2:C22,"&lt;&gt;yes")</f>
        <v>97.4305555555556</v>
      </c>
      <c r="H28" s="8" t="n">
        <v>160</v>
      </c>
    </row>
    <row r="29" customFormat="false" ht="15" hidden="false" customHeight="false" outlineLevel="0" collapsed="false">
      <c r="A29" s="4" t="s">
        <v>9</v>
      </c>
      <c r="B29" s="4" t="n">
        <f aca="false">COUNTIFS(A2:A22,"clockwork",C2:C22,"&lt;&gt;yes")</f>
        <v>6</v>
      </c>
      <c r="C29" s="11" t="n">
        <f aca="false">AVERAGEIFS(S2:S22,A2:A22,"clockwork",C2:C22,"&lt;&gt;yes")</f>
        <v>180</v>
      </c>
      <c r="D29" s="11" t="n">
        <f aca="false">AVERAGEIFS(U2:U22,A2:A22,"clockwork",C2:C22,"&lt;&gt;yes")</f>
        <v>9.39445970695971</v>
      </c>
      <c r="E29" s="11" t="n">
        <f aca="false">AVERAGEIFS(W2:W22,A2:A22,"clockwork",C2:C22,"&lt;&gt;yes")</f>
        <v>263.743386243386</v>
      </c>
      <c r="F29" s="11" t="n">
        <f aca="false">AVERAGEIFS(Y2:Y22,A2:A22,"clockwork",C2:C22,"&lt;&gt;yes")</f>
        <v>14.5981936606176</v>
      </c>
      <c r="G29" s="11" t="n">
        <f aca="false">AVERAGEIFS(AC2:AC22,A2:A22,"clockwork",C2:C22,"&lt;&gt;yes")</f>
        <v>62.5555555555556</v>
      </c>
      <c r="H29" s="8" t="n">
        <v>80</v>
      </c>
    </row>
    <row r="31" customFormat="false" ht="15" hidden="false" customHeight="false" outlineLevel="0" collapsed="false">
      <c r="A31" s="4" t="s">
        <v>102</v>
      </c>
    </row>
  </sheetData>
  <autoFilter ref="A1:AD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8" min="7" style="0" width="7"/>
    <col collapsed="false" customWidth="true" hidden="false" outlineLevel="0" max="9" min="9" style="0" width="6"/>
    <col collapsed="false" customWidth="true" hidden="false" outlineLevel="0" max="10" min="10" style="0" width="8"/>
    <col collapsed="false" customWidth="true" hidden="false" outlineLevel="0" max="11" min="11" style="0" width="40"/>
    <col collapsed="false" customWidth="true" hidden="false" outlineLevel="0" max="12" min="12" style="0" width="80"/>
  </cols>
  <sheetData>
    <row r="1" customFormat="false" ht="15" hidden="false" customHeight="false" outlineLevel="0" collapsed="false">
      <c r="A1" s="3" t="s">
        <v>2</v>
      </c>
      <c r="B1" s="3" t="s">
        <v>103</v>
      </c>
      <c r="C1" s="3" t="s">
        <v>25</v>
      </c>
      <c r="D1" s="3" t="s">
        <v>104</v>
      </c>
      <c r="E1" s="3" t="s">
        <v>30</v>
      </c>
      <c r="F1" s="3" t="s">
        <v>31</v>
      </c>
      <c r="G1" s="3" t="s">
        <v>105</v>
      </c>
      <c r="H1" s="3" t="s">
        <v>28</v>
      </c>
      <c r="I1" s="3" t="s">
        <v>106</v>
      </c>
      <c r="J1" s="3" t="s">
        <v>107</v>
      </c>
      <c r="K1" s="3" t="s">
        <v>108</v>
      </c>
      <c r="L1" s="3" t="s">
        <v>109</v>
      </c>
    </row>
    <row r="2" customFormat="false" ht="26.85" hidden="false" customHeight="false" outlineLevel="0" collapsed="false">
      <c r="A2" s="4" t="s">
        <v>5</v>
      </c>
      <c r="B2" s="4" t="s">
        <v>110</v>
      </c>
      <c r="C2" s="8" t="n">
        <v>10</v>
      </c>
      <c r="D2" s="8" t="n">
        <v>4</v>
      </c>
      <c r="E2" s="8" t="n">
        <v>450</v>
      </c>
      <c r="F2" s="8" t="n">
        <v>4</v>
      </c>
      <c r="G2" s="8" t="s">
        <v>111</v>
      </c>
      <c r="H2" s="8" t="n">
        <v>0</v>
      </c>
      <c r="I2" s="8"/>
      <c r="J2" s="8"/>
      <c r="K2" s="4"/>
      <c r="L2" s="15" t="s">
        <v>112</v>
      </c>
    </row>
    <row r="3" customFormat="false" ht="39.55" hidden="false" customHeight="false" outlineLevel="0" collapsed="false">
      <c r="A3" s="4" t="s">
        <v>5</v>
      </c>
      <c r="B3" s="4" t="s">
        <v>113</v>
      </c>
      <c r="C3" s="8" t="n">
        <v>25</v>
      </c>
      <c r="D3" s="8" t="n">
        <v>6</v>
      </c>
      <c r="E3" s="8" t="n">
        <v>600</v>
      </c>
      <c r="F3" s="8" t="n">
        <v>4</v>
      </c>
      <c r="G3" s="8" t="s">
        <v>111</v>
      </c>
      <c r="H3" s="8" t="n">
        <v>0</v>
      </c>
      <c r="I3" s="8"/>
      <c r="J3" s="8"/>
      <c r="K3" s="4"/>
      <c r="L3" s="15" t="s">
        <v>114</v>
      </c>
    </row>
    <row r="4" customFormat="false" ht="15" hidden="false" customHeight="false" outlineLevel="0" collapsed="false">
      <c r="A4" s="4" t="s">
        <v>5</v>
      </c>
      <c r="B4" s="4" t="s">
        <v>115</v>
      </c>
      <c r="C4" s="8" t="n">
        <v>100</v>
      </c>
      <c r="D4" s="8" t="n">
        <v>20</v>
      </c>
      <c r="E4" s="8" t="n">
        <v>400</v>
      </c>
      <c r="F4" s="8" t="n">
        <v>1</v>
      </c>
      <c r="G4" s="8" t="s">
        <v>116</v>
      </c>
      <c r="H4" s="8" t="n">
        <v>8</v>
      </c>
      <c r="I4" s="8"/>
      <c r="J4" s="8"/>
      <c r="K4" s="4"/>
      <c r="L4" s="15" t="s">
        <v>117</v>
      </c>
    </row>
    <row r="5" customFormat="false" ht="15" hidden="false" customHeight="false" outlineLevel="0" collapsed="false">
      <c r="A5" s="4" t="s">
        <v>5</v>
      </c>
      <c r="B5" s="4" t="s">
        <v>118</v>
      </c>
      <c r="C5" s="8" t="n">
        <v>100</v>
      </c>
      <c r="D5" s="8" t="n">
        <v>25</v>
      </c>
      <c r="E5" s="8" t="n">
        <v>500</v>
      </c>
      <c r="F5" s="8" t="n">
        <v>1</v>
      </c>
      <c r="G5" s="8" t="s">
        <v>119</v>
      </c>
      <c r="H5" s="8" t="n">
        <v>0</v>
      </c>
      <c r="I5" s="8" t="n">
        <v>3</v>
      </c>
      <c r="J5" s="8" t="n">
        <v>4</v>
      </c>
      <c r="K5" s="4"/>
      <c r="L5" s="15" t="s">
        <v>120</v>
      </c>
    </row>
    <row r="6" customFormat="false" ht="15" hidden="false" customHeight="false" outlineLevel="0" collapsed="false">
      <c r="A6" s="4" t="s">
        <v>5</v>
      </c>
      <c r="B6" s="4" t="s">
        <v>121</v>
      </c>
      <c r="C6" s="8" t="n">
        <v>125</v>
      </c>
      <c r="D6" s="8" t="n">
        <v>30</v>
      </c>
      <c r="E6" s="8" t="n">
        <v>600</v>
      </c>
      <c r="F6" s="8" t="n">
        <v>1</v>
      </c>
      <c r="G6" s="8" t="s">
        <v>119</v>
      </c>
      <c r="H6" s="8" t="n">
        <v>0</v>
      </c>
      <c r="I6" s="8" t="n">
        <v>2</v>
      </c>
      <c r="J6" s="8" t="n">
        <v>1</v>
      </c>
      <c r="K6" s="4"/>
      <c r="L6" s="15" t="s">
        <v>122</v>
      </c>
    </row>
    <row r="7" customFormat="false" ht="15" hidden="false" customHeight="false" outlineLevel="0" collapsed="false">
      <c r="A7" s="4" t="s">
        <v>5</v>
      </c>
      <c r="B7" s="4" t="s">
        <v>123</v>
      </c>
      <c r="C7" s="8" t="n">
        <v>150</v>
      </c>
      <c r="D7" s="8" t="n">
        <v>40</v>
      </c>
      <c r="E7" s="8" t="n">
        <v>1000</v>
      </c>
      <c r="F7" s="8" t="n">
        <v>2</v>
      </c>
      <c r="G7" s="8" t="s">
        <v>124</v>
      </c>
      <c r="H7" s="8" t="n">
        <v>0</v>
      </c>
      <c r="I7" s="8"/>
      <c r="J7" s="8"/>
      <c r="K7" s="4" t="s">
        <v>125</v>
      </c>
      <c r="L7" s="15" t="s">
        <v>126</v>
      </c>
    </row>
    <row r="8" customFormat="false" ht="15" hidden="false" customHeight="false" outlineLevel="0" collapsed="false">
      <c r="A8" s="4" t="s">
        <v>5</v>
      </c>
      <c r="B8" s="4" t="s">
        <v>127</v>
      </c>
      <c r="C8" s="8" t="n">
        <v>150</v>
      </c>
      <c r="D8" s="8" t="n">
        <v>35</v>
      </c>
      <c r="E8" s="8" t="n">
        <v>900</v>
      </c>
      <c r="F8" s="8" t="n">
        <v>2</v>
      </c>
      <c r="G8" s="8" t="s">
        <v>119</v>
      </c>
      <c r="H8" s="8" t="n">
        <v>0</v>
      </c>
      <c r="I8" s="8"/>
      <c r="J8" s="8"/>
      <c r="K8" s="4" t="s">
        <v>58</v>
      </c>
      <c r="L8" s="15" t="s">
        <v>128</v>
      </c>
    </row>
    <row r="9" customFormat="false" ht="26.85" hidden="false" customHeight="false" outlineLevel="0" collapsed="false">
      <c r="A9" s="4" t="s">
        <v>5</v>
      </c>
      <c r="B9" s="4" t="s">
        <v>129</v>
      </c>
      <c r="C9" s="8" t="n">
        <v>200</v>
      </c>
      <c r="D9" s="8" t="n">
        <v>45</v>
      </c>
      <c r="E9" s="8" t="n">
        <v>900</v>
      </c>
      <c r="F9" s="8" t="n">
        <v>2</v>
      </c>
      <c r="G9" s="8" t="s">
        <v>124</v>
      </c>
      <c r="H9" s="8" t="n">
        <v>0</v>
      </c>
      <c r="I9" s="8"/>
      <c r="J9" s="8"/>
      <c r="K9" s="4" t="s">
        <v>130</v>
      </c>
      <c r="L9" s="15" t="s">
        <v>131</v>
      </c>
    </row>
    <row r="10" customFormat="false" ht="15" hidden="false" customHeight="false" outlineLevel="0" collapsed="false">
      <c r="A10" s="4" t="s">
        <v>5</v>
      </c>
      <c r="B10" s="4" t="s">
        <v>132</v>
      </c>
      <c r="C10" s="8" t="n">
        <v>400</v>
      </c>
      <c r="D10" s="8" t="n">
        <v>60</v>
      </c>
      <c r="E10" s="8" t="n">
        <v>1600</v>
      </c>
      <c r="F10" s="8" t="n">
        <v>2</v>
      </c>
      <c r="G10" s="8" t="s">
        <v>133</v>
      </c>
      <c r="H10" s="8" t="n">
        <v>10</v>
      </c>
      <c r="I10" s="8"/>
      <c r="J10" s="8"/>
      <c r="K10" s="4" t="s">
        <v>49</v>
      </c>
      <c r="L10" s="15" t="s">
        <v>134</v>
      </c>
    </row>
    <row r="11" customFormat="false" ht="26.85" hidden="false" customHeight="false" outlineLevel="0" collapsed="false">
      <c r="A11" s="4" t="s">
        <v>7</v>
      </c>
      <c r="B11" s="4" t="s">
        <v>135</v>
      </c>
      <c r="C11" s="8" t="n">
        <v>75</v>
      </c>
      <c r="D11" s="8" t="n">
        <v>18</v>
      </c>
      <c r="E11" s="8" t="n">
        <v>350</v>
      </c>
      <c r="F11" s="8" t="n">
        <v>0</v>
      </c>
      <c r="G11" s="8" t="s">
        <v>116</v>
      </c>
      <c r="H11" s="8" t="n">
        <v>12</v>
      </c>
      <c r="I11" s="8"/>
      <c r="J11" s="8"/>
      <c r="K11" s="4"/>
      <c r="L11" s="15" t="s">
        <v>136</v>
      </c>
    </row>
    <row r="12" customFormat="false" ht="15" hidden="false" customHeight="false" outlineLevel="0" collapsed="false">
      <c r="A12" s="4" t="s">
        <v>7</v>
      </c>
      <c r="B12" s="4" t="s">
        <v>137</v>
      </c>
      <c r="C12" s="8" t="n">
        <v>75</v>
      </c>
      <c r="D12" s="8" t="n">
        <v>18</v>
      </c>
      <c r="E12" s="8" t="n">
        <v>450</v>
      </c>
      <c r="F12" s="8" t="n">
        <v>0</v>
      </c>
      <c r="G12" s="8" t="s">
        <v>119</v>
      </c>
      <c r="H12" s="8" t="n">
        <v>0</v>
      </c>
      <c r="I12" s="8" t="n">
        <v>5</v>
      </c>
      <c r="J12" s="8" t="n">
        <v>3</v>
      </c>
      <c r="K12" s="4"/>
      <c r="L12" s="15" t="s">
        <v>138</v>
      </c>
    </row>
    <row r="13" customFormat="false" ht="15" hidden="false" customHeight="false" outlineLevel="0" collapsed="false">
      <c r="A13" s="4" t="s">
        <v>7</v>
      </c>
      <c r="B13" s="4" t="s">
        <v>139</v>
      </c>
      <c r="C13" s="8" t="n">
        <v>90</v>
      </c>
      <c r="D13" s="8" t="n">
        <v>16</v>
      </c>
      <c r="E13" s="8" t="n">
        <v>300</v>
      </c>
      <c r="F13" s="8" t="n">
        <v>0</v>
      </c>
      <c r="G13" s="8" t="s">
        <v>116</v>
      </c>
      <c r="H13" s="8" t="n">
        <v>0</v>
      </c>
      <c r="I13" s="8"/>
      <c r="J13" s="8"/>
      <c r="K13" s="4"/>
      <c r="L13" s="15" t="s">
        <v>140</v>
      </c>
    </row>
    <row r="14" customFormat="false" ht="15" hidden="false" customHeight="false" outlineLevel="0" collapsed="false">
      <c r="A14" s="4" t="s">
        <v>7</v>
      </c>
      <c r="B14" s="4" t="s">
        <v>141</v>
      </c>
      <c r="C14" s="8" t="n">
        <v>100</v>
      </c>
      <c r="D14" s="8" t="n">
        <v>22</v>
      </c>
      <c r="E14" s="8" t="n">
        <v>500</v>
      </c>
      <c r="F14" s="8" t="n">
        <v>0</v>
      </c>
      <c r="G14" s="8" t="s">
        <v>119</v>
      </c>
      <c r="H14" s="8" t="n">
        <v>0</v>
      </c>
      <c r="I14" s="8"/>
      <c r="J14" s="8" t="n">
        <v>1</v>
      </c>
      <c r="K14" s="4"/>
      <c r="L14" s="15" t="s">
        <v>142</v>
      </c>
    </row>
    <row r="15" customFormat="false" ht="15" hidden="false" customHeight="false" outlineLevel="0" collapsed="false">
      <c r="A15" s="4" t="s">
        <v>7</v>
      </c>
      <c r="B15" s="4" t="s">
        <v>143</v>
      </c>
      <c r="C15" s="8" t="n">
        <v>150</v>
      </c>
      <c r="D15" s="8" t="n">
        <v>35</v>
      </c>
      <c r="E15" s="8" t="n">
        <v>800</v>
      </c>
      <c r="F15" s="8" t="n">
        <v>1</v>
      </c>
      <c r="G15" s="8" t="s">
        <v>124</v>
      </c>
      <c r="H15" s="8" t="n">
        <v>0</v>
      </c>
      <c r="I15" s="8"/>
      <c r="J15" s="8"/>
      <c r="K15" s="4"/>
      <c r="L15" s="15" t="s">
        <v>144</v>
      </c>
    </row>
    <row r="16" customFormat="false" ht="15" hidden="false" customHeight="false" outlineLevel="0" collapsed="false">
      <c r="A16" s="4" t="s">
        <v>7</v>
      </c>
      <c r="B16" s="4" t="s">
        <v>145</v>
      </c>
      <c r="C16" s="8" t="n">
        <v>175</v>
      </c>
      <c r="D16" s="8" t="n">
        <v>35</v>
      </c>
      <c r="E16" s="8" t="n">
        <v>700</v>
      </c>
      <c r="F16" s="8" t="n">
        <v>1</v>
      </c>
      <c r="G16" s="8" t="s">
        <v>119</v>
      </c>
      <c r="H16" s="8" t="n">
        <v>0</v>
      </c>
      <c r="I16" s="8"/>
      <c r="J16" s="8"/>
      <c r="K16" s="4"/>
      <c r="L16" s="15" t="s">
        <v>146</v>
      </c>
    </row>
    <row r="17" customFormat="false" ht="15" hidden="false" customHeight="false" outlineLevel="0" collapsed="false">
      <c r="A17" s="4" t="s">
        <v>7</v>
      </c>
      <c r="B17" s="4" t="s">
        <v>147</v>
      </c>
      <c r="C17" s="8" t="n">
        <v>200</v>
      </c>
      <c r="D17" s="8" t="n">
        <v>45</v>
      </c>
      <c r="E17" s="8" t="n">
        <v>800</v>
      </c>
      <c r="F17" s="8" t="n">
        <v>1</v>
      </c>
      <c r="G17" s="8" t="s">
        <v>124</v>
      </c>
      <c r="H17" s="8" t="n">
        <v>0</v>
      </c>
      <c r="I17" s="8"/>
      <c r="J17" s="8"/>
      <c r="K17" s="4"/>
      <c r="L17" s="15" t="s">
        <v>148</v>
      </c>
    </row>
    <row r="18" customFormat="false" ht="26.85" hidden="false" customHeight="false" outlineLevel="0" collapsed="false">
      <c r="A18" s="4" t="s">
        <v>7</v>
      </c>
      <c r="B18" s="4" t="s">
        <v>149</v>
      </c>
      <c r="C18" s="8" t="n">
        <v>350</v>
      </c>
      <c r="D18" s="8" t="n">
        <v>55</v>
      </c>
      <c r="E18" s="8" t="n">
        <v>1500</v>
      </c>
      <c r="F18" s="8" t="n">
        <v>1</v>
      </c>
      <c r="G18" s="8" t="s">
        <v>133</v>
      </c>
      <c r="H18" s="8" t="n">
        <v>16</v>
      </c>
      <c r="I18" s="8"/>
      <c r="J18" s="8"/>
      <c r="K18" s="4" t="s">
        <v>150</v>
      </c>
      <c r="L18" s="15" t="s">
        <v>151</v>
      </c>
    </row>
    <row r="19" customFormat="false" ht="15" hidden="false" customHeight="false" outlineLevel="0" collapsed="false">
      <c r="A19" s="4" t="s">
        <v>9</v>
      </c>
      <c r="B19" s="4" t="s">
        <v>152</v>
      </c>
      <c r="C19" s="8" t="n">
        <v>100</v>
      </c>
      <c r="D19" s="8" t="n">
        <v>20</v>
      </c>
      <c r="E19" s="8" t="n">
        <v>500</v>
      </c>
      <c r="F19" s="8" t="n">
        <v>2</v>
      </c>
      <c r="G19" s="8" t="s">
        <v>116</v>
      </c>
      <c r="H19" s="8" t="n">
        <v>10</v>
      </c>
      <c r="I19" s="8" t="n">
        <v>1</v>
      </c>
      <c r="J19" s="8"/>
      <c r="K19" s="4"/>
      <c r="L19" s="15" t="s">
        <v>153</v>
      </c>
    </row>
    <row r="20" customFormat="false" ht="26.85" hidden="false" customHeight="false" outlineLevel="0" collapsed="false">
      <c r="A20" s="4" t="s">
        <v>9</v>
      </c>
      <c r="B20" s="4" t="s">
        <v>154</v>
      </c>
      <c r="C20" s="8" t="n">
        <v>125</v>
      </c>
      <c r="D20" s="8" t="n">
        <v>30</v>
      </c>
      <c r="E20" s="8" t="n">
        <v>800</v>
      </c>
      <c r="F20" s="8" t="n">
        <v>2</v>
      </c>
      <c r="G20" s="8" t="s">
        <v>119</v>
      </c>
      <c r="H20" s="8" t="n">
        <v>0</v>
      </c>
      <c r="I20" s="8"/>
      <c r="J20" s="8" t="n">
        <v>2</v>
      </c>
      <c r="K20" s="4"/>
      <c r="L20" s="15" t="s">
        <v>155</v>
      </c>
    </row>
    <row r="21" customFormat="false" ht="26.85" hidden="false" customHeight="false" outlineLevel="0" collapsed="false">
      <c r="A21" s="4" t="s">
        <v>9</v>
      </c>
      <c r="B21" s="4" t="s">
        <v>156</v>
      </c>
      <c r="C21" s="8" t="n">
        <v>150</v>
      </c>
      <c r="D21" s="8" t="n">
        <v>30</v>
      </c>
      <c r="E21" s="8" t="n">
        <v>800</v>
      </c>
      <c r="F21" s="8" t="n">
        <v>2</v>
      </c>
      <c r="G21" s="8" t="s">
        <v>119</v>
      </c>
      <c r="H21" s="8" t="n">
        <v>0</v>
      </c>
      <c r="I21" s="8" t="n">
        <v>7</v>
      </c>
      <c r="J21" s="8" t="n">
        <v>2</v>
      </c>
      <c r="K21" s="4"/>
      <c r="L21" s="15" t="s">
        <v>157</v>
      </c>
    </row>
    <row r="22" customFormat="false" ht="26.85" hidden="false" customHeight="false" outlineLevel="0" collapsed="false">
      <c r="A22" s="4" t="s">
        <v>9</v>
      </c>
      <c r="B22" s="4" t="s">
        <v>158</v>
      </c>
      <c r="C22" s="8" t="n">
        <v>150</v>
      </c>
      <c r="D22" s="8" t="n">
        <v>30</v>
      </c>
      <c r="E22" s="8" t="n">
        <v>600</v>
      </c>
      <c r="F22" s="8" t="n">
        <v>2</v>
      </c>
      <c r="G22" s="8" t="s">
        <v>116</v>
      </c>
      <c r="H22" s="8" t="n">
        <v>0</v>
      </c>
      <c r="I22" s="8" t="n">
        <v>3</v>
      </c>
      <c r="J22" s="8"/>
      <c r="K22" s="4"/>
      <c r="L22" s="15" t="s">
        <v>159</v>
      </c>
    </row>
    <row r="23" customFormat="false" ht="15" hidden="false" customHeight="false" outlineLevel="0" collapsed="false">
      <c r="A23" s="4" t="s">
        <v>9</v>
      </c>
      <c r="B23" s="4" t="s">
        <v>160</v>
      </c>
      <c r="C23" s="8" t="n">
        <v>175</v>
      </c>
      <c r="D23" s="8" t="n">
        <v>30</v>
      </c>
      <c r="E23" s="8" t="n">
        <v>700</v>
      </c>
      <c r="F23" s="8" t="n">
        <v>2</v>
      </c>
      <c r="G23" s="8" t="s">
        <v>116</v>
      </c>
      <c r="H23" s="8" t="n">
        <v>0</v>
      </c>
      <c r="I23" s="8"/>
      <c r="J23" s="8"/>
      <c r="K23" s="4"/>
      <c r="L23" s="15" t="s">
        <v>161</v>
      </c>
    </row>
    <row r="24" customFormat="false" ht="15" hidden="false" customHeight="false" outlineLevel="0" collapsed="false">
      <c r="A24" s="4" t="s">
        <v>9</v>
      </c>
      <c r="B24" s="4" t="s">
        <v>162</v>
      </c>
      <c r="C24" s="8" t="n">
        <v>200</v>
      </c>
      <c r="D24" s="8" t="n">
        <v>45</v>
      </c>
      <c r="E24" s="8" t="n">
        <v>1300</v>
      </c>
      <c r="F24" s="8" t="n">
        <v>3</v>
      </c>
      <c r="G24" s="8" t="s">
        <v>124</v>
      </c>
      <c r="H24" s="8" t="n">
        <v>0</v>
      </c>
      <c r="I24" s="8"/>
      <c r="J24" s="8"/>
      <c r="K24" s="4" t="s">
        <v>163</v>
      </c>
      <c r="L24" s="15" t="s">
        <v>164</v>
      </c>
    </row>
    <row r="25" customFormat="false" ht="26.85" hidden="false" customHeight="false" outlineLevel="0" collapsed="false">
      <c r="A25" s="4" t="s">
        <v>9</v>
      </c>
      <c r="B25" s="4" t="s">
        <v>165</v>
      </c>
      <c r="C25" s="8" t="n">
        <v>250</v>
      </c>
      <c r="D25" s="8" t="n">
        <v>50</v>
      </c>
      <c r="E25" s="8" t="n">
        <v>900</v>
      </c>
      <c r="F25" s="8" t="n">
        <v>2</v>
      </c>
      <c r="G25" s="8" t="s">
        <v>116</v>
      </c>
      <c r="H25" s="8" t="n">
        <v>0</v>
      </c>
      <c r="I25" s="8"/>
      <c r="J25" s="8"/>
      <c r="K25" s="4"/>
      <c r="L25" s="15" t="s">
        <v>166</v>
      </c>
    </row>
    <row r="26" customFormat="false" ht="26.85" hidden="false" customHeight="false" outlineLevel="0" collapsed="false">
      <c r="A26" s="4" t="s">
        <v>9</v>
      </c>
      <c r="B26" s="4" t="s">
        <v>167</v>
      </c>
      <c r="C26" s="8" t="n">
        <v>400</v>
      </c>
      <c r="D26" s="8" t="n">
        <v>60</v>
      </c>
      <c r="E26" s="8" t="n">
        <v>2000</v>
      </c>
      <c r="F26" s="8" t="n">
        <v>3</v>
      </c>
      <c r="G26" s="8" t="s">
        <v>133</v>
      </c>
      <c r="H26" s="8" t="n">
        <v>10</v>
      </c>
      <c r="I26" s="8" t="n">
        <v>4</v>
      </c>
      <c r="J26" s="8"/>
      <c r="K26" s="4" t="s">
        <v>80</v>
      </c>
      <c r="L26" s="15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2026-10-20T23:36:44Z</dcterms:created>
  <dc:creator>openpyxl</dc:creator>
  <dc:description/>
  <dc:language>en-US</dc:language>
  <cp:lastModifiedBy/>
  <dcterms:modified xsi:type="dcterms:W3CDTF">2026-10-20T23:36:44Z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